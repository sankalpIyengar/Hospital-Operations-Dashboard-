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2" sheetId="3" r:id="rId1"/>
    <sheet name="dummy_hospital_generated" sheetId="1" r:id="rId2"/>
    <sheet name="Sheet1" sheetId="2" r:id="rId3"/>
  </sheets>
  <definedNames>
    <definedName name="Slicer_Doctor_Type">#N/A</definedName>
    <definedName name="Slicer_Surgical_Mix">#N/A</definedName>
    <definedName name="Slicer_Case_type">#N/A</definedName>
    <definedName name="Slicer_Gende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<sst xmlns="http://schemas.openxmlformats.org/spreadsheetml/2006/main" count="6799" uniqueCount="109">
  <si>
    <t>Case type</t>
  </si>
  <si>
    <t>Count of Case_No</t>
  </si>
  <si>
    <t>Sum of Revenue</t>
  </si>
  <si>
    <t>Average of LOS</t>
  </si>
  <si>
    <t>DC</t>
  </si>
  <si>
    <t>IP</t>
  </si>
  <si>
    <t>OP</t>
  </si>
  <si>
    <t>Grand Total</t>
  </si>
  <si>
    <t>Date</t>
  </si>
  <si>
    <t>Surgical Mix</t>
  </si>
  <si>
    <t>Payer Mix</t>
  </si>
  <si>
    <t>Medical</t>
  </si>
  <si>
    <t>Corporate</t>
  </si>
  <si>
    <t>Surgery</t>
  </si>
  <si>
    <t>Insurance</t>
  </si>
  <si>
    <t>Case_No</t>
  </si>
  <si>
    <t>DOB</t>
  </si>
  <si>
    <t>Nationality</t>
  </si>
  <si>
    <t>Gender</t>
  </si>
  <si>
    <t>DoctorLicense</t>
  </si>
  <si>
    <t>DoctorName</t>
  </si>
  <si>
    <t>Doctor Type</t>
  </si>
  <si>
    <t>Doctor Status</t>
  </si>
  <si>
    <t>CMI Value</t>
  </si>
  <si>
    <t>Specialty</t>
  </si>
  <si>
    <t>Insurance/Payer</t>
  </si>
  <si>
    <t>InsurancePlanName</t>
  </si>
  <si>
    <t>LOS</t>
  </si>
  <si>
    <t>Severity</t>
  </si>
  <si>
    <t>Discharge Time</t>
  </si>
  <si>
    <t>Discharge Before 12PM</t>
  </si>
  <si>
    <t>Revenue</t>
  </si>
  <si>
    <t>Pakistan</t>
  </si>
  <si>
    <t>F</t>
  </si>
  <si>
    <t>ABC123</t>
  </si>
  <si>
    <t>Dr. Shawn Martin</t>
  </si>
  <si>
    <t>Consultant</t>
  </si>
  <si>
    <t>Inactive</t>
  </si>
  <si>
    <t>Emergency</t>
  </si>
  <si>
    <t>PureWin Insurance</t>
  </si>
  <si>
    <t>Premium</t>
  </si>
  <si>
    <t>Yes</t>
  </si>
  <si>
    <t>Indonesia</t>
  </si>
  <si>
    <t>VBN123</t>
  </si>
  <si>
    <t>Dr. Peter Novak</t>
  </si>
  <si>
    <t>Active</t>
  </si>
  <si>
    <t>Orthopaedics</t>
  </si>
  <si>
    <t>Basic</t>
  </si>
  <si>
    <t>N/A</t>
  </si>
  <si>
    <t>Egypt</t>
  </si>
  <si>
    <t>M</t>
  </si>
  <si>
    <t>FGH123</t>
  </si>
  <si>
    <t>Dr. Sofia Kim</t>
  </si>
  <si>
    <t>GP</t>
  </si>
  <si>
    <t>Internal Medicine</t>
  </si>
  <si>
    <t>Germany</t>
  </si>
  <si>
    <t>HJK123</t>
  </si>
  <si>
    <t>Dr. Priya Iyer</t>
  </si>
  <si>
    <t>Specialist</t>
  </si>
  <si>
    <t>Obstetrics &amp; Gynecology</t>
  </si>
  <si>
    <t>BlueMedic Charity</t>
  </si>
  <si>
    <t>UAE</t>
  </si>
  <si>
    <t>ABC234</t>
  </si>
  <si>
    <t>Dr. Thomas Muller</t>
  </si>
  <si>
    <t>Nephrology</t>
  </si>
  <si>
    <t>Nextcare Insurance</t>
  </si>
  <si>
    <t>NC-Blue</t>
  </si>
  <si>
    <t>No</t>
  </si>
  <si>
    <t>USA</t>
  </si>
  <si>
    <t>ABC456</t>
  </si>
  <si>
    <t>Dr. Ahmed Zayed</t>
  </si>
  <si>
    <t>Gastroenterology</t>
  </si>
  <si>
    <t>Goodhealth Insurance</t>
  </si>
  <si>
    <t>GH-2</t>
  </si>
  <si>
    <t>Oman</t>
  </si>
  <si>
    <t>QWE123</t>
  </si>
  <si>
    <t>Dr. Omar Khalid</t>
  </si>
  <si>
    <t>Family Medicine</t>
  </si>
  <si>
    <t>Advance</t>
  </si>
  <si>
    <t>Philippines</t>
  </si>
  <si>
    <t>FGH234</t>
  </si>
  <si>
    <t>Dr. Hana Suzuki</t>
  </si>
  <si>
    <t>General Surgery</t>
  </si>
  <si>
    <t>India</t>
  </si>
  <si>
    <t>TotalHealth Insurance</t>
  </si>
  <si>
    <t>TH-Standard</t>
  </si>
  <si>
    <t>DEF232</t>
  </si>
  <si>
    <t>Dr. Lily James</t>
  </si>
  <si>
    <t>Cardiology</t>
  </si>
  <si>
    <t>TH-Plus</t>
  </si>
  <si>
    <t>Sri Lanka</t>
  </si>
  <si>
    <t>QWE234</t>
  </si>
  <si>
    <t>Dr. Aisha Rahman</t>
  </si>
  <si>
    <t>Pulmonology</t>
  </si>
  <si>
    <t>Japan</t>
  </si>
  <si>
    <t>GH-1</t>
  </si>
  <si>
    <t>NC-Gold</t>
  </si>
  <si>
    <t>Bangladesh</t>
  </si>
  <si>
    <t>Netherlands</t>
  </si>
  <si>
    <t>Self-Pay Corporate</t>
  </si>
  <si>
    <t>Denmark</t>
  </si>
  <si>
    <t>Hospital Operations Dashboard</t>
  </si>
  <si>
    <t>Total Cases</t>
  </si>
  <si>
    <t>Total Revenue</t>
  </si>
  <si>
    <t>Average LOS</t>
  </si>
  <si>
    <t>Average CMI</t>
  </si>
  <si>
    <t>Revenue per Case</t>
  </si>
  <si>
    <t>Inpatient %</t>
  </si>
  <si>
    <t>surgery%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</si>
</sst>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6">
    <font>
      <sz val="11"/>
      <color theme="1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6" xfId="3" applyNumberFormat="1" applyFont="1" applyBorder="1" applyAlignment="1">
      <alignment horizontal="center" vertical="center"/>
    </xf>
    <xf numFmtId="0" fontId="6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9" fontId="0" fillId="0" borderId="0" xfId="3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8">
    <dxf>
      <numFmt numFmtId="180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37"/>
      <tableStyleElement type="totalRow" dxfId="36"/>
      <tableStyleElement type="firstRowStripe" dxfId="35"/>
      <tableStyleElement type="firstColumnStripe" dxfId="34"/>
      <tableStyleElement type="firstSubtotalRow" dxfId="33"/>
      <tableStyleElement type="secondSubtotalRow" dxfId="32"/>
      <tableStyleElement type="firstRowSubheading" dxfId="31"/>
      <tableStyleElement type="secondRowSubheading" dxfId="30"/>
      <tableStyleElement type="pageFieldLabels" dxfId="29"/>
      <tableStyleElement type="pageFieldValues" dxfId="2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Cases &amp; Revenue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Sheet2!$A$11:$A$12</c:f>
              <c:strCache>
                <c:ptCount val="1"/>
                <c:pt idx="0">
                  <c:v>01-02-2025</c:v>
                </c:pt>
              </c:strCache>
            </c:strRef>
          </c:cat>
          <c:val>
            <c:numRef>
              <c:f>Sheet2!$B$11:$B$12</c:f>
              <c:numCache>
                <c:formatCode>General</c:formatCode>
                <c:ptCount val="1"/>
                <c:pt idx="0">
                  <c:v>440378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3863570"/>
        <c:axId val="373461543"/>
      </c:barChart>
      <c:lineChart>
        <c:grouping val="standard"/>
        <c:varyColors val="0"/>
        <c:ser>
          <c:idx val="1"/>
          <c:order val="1"/>
          <c:tx>
            <c:strRef>
              <c:f>Sheet2!$C$10</c:f>
              <c:strCache>
                <c:ptCount val="1"/>
                <c:pt idx="0">
                  <c:v>Count of Case_No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Sheet2!$A$11:$A$12</c:f>
              <c:strCache>
                <c:ptCount val="1"/>
                <c:pt idx="0">
                  <c:v>01-02-2025</c:v>
                </c:pt>
              </c:strCache>
            </c:strRef>
          </c:cat>
          <c:val>
            <c:numRef>
              <c:f>Sheet2!$C$11:$C$12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08115738"/>
        <c:axId val="367776015"/>
      </c:lineChart>
      <c:catAx>
        <c:axId val="6386357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461543"/>
        <c:crosses val="autoZero"/>
        <c:auto val="1"/>
        <c:lblAlgn val="ctr"/>
        <c:lblOffset val="100"/>
        <c:noMultiLvlLbl val="0"/>
      </c:catAx>
      <c:valAx>
        <c:axId val="3734615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863570"/>
        <c:crosses val="autoZero"/>
        <c:crossBetween val="between"/>
      </c:valAx>
      <c:catAx>
        <c:axId val="208115738"/>
        <c:scaling>
          <c:orientation val="minMax"/>
        </c:scaling>
        <c:delete val="0"/>
        <c:axPos val="t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776015"/>
        <c:crosses val="max"/>
        <c:auto val="1"/>
        <c:lblAlgn val="ctr"/>
        <c:lblOffset val="100"/>
        <c:noMultiLvlLbl val="0"/>
      </c:catAx>
      <c:valAx>
        <c:axId val="3677760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115738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e1185c-27e4-4174-8d05-568ed0ed61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Case Type</a:t>
            </a:r>
          </a:p>
        </c:rich>
      </c:tx>
      <c:layout>
        <c:manualLayout>
          <c:xMode val="edge"/>
          <c:yMode val="edge"/>
          <c:x val="0.360590163934426"/>
          <c:y val="0.11291666568981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Sheet2!$D$4:$D$7</c:f>
              <c:strCache>
                <c:ptCount val="3"/>
                <c:pt idx="0">
                  <c:v>DC</c:v>
                </c:pt>
                <c:pt idx="1">
                  <c:v>IP</c:v>
                </c:pt>
                <c:pt idx="2">
                  <c:v>OP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12993</c:v>
                </c:pt>
                <c:pt idx="1">
                  <c:v>409030</c:v>
                </c:pt>
                <c:pt idx="2">
                  <c:v>18355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602363867"/>
        <c:axId val="292009515"/>
      </c:barChart>
      <c:catAx>
        <c:axId val="60236386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2009515"/>
        <c:crosses val="autoZero"/>
        <c:auto val="1"/>
        <c:lblAlgn val="ctr"/>
        <c:lblOffset val="100"/>
        <c:noMultiLvlLbl val="0"/>
      </c:catAx>
      <c:valAx>
        <c:axId val="2920095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3638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ef399e-25d5-4e15-aa16-6e74032bc3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Length of Stay by Case Type</a:t>
            </a:r>
          </a:p>
        </c:rich>
      </c:tx>
      <c:layout>
        <c:manualLayout>
          <c:xMode val="edge"/>
          <c:yMode val="edge"/>
          <c:x val="0.215704160374065"/>
          <c:y val="0.1163888879120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Sheet2!$H$3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Sheet2!$G$4:$G$7</c:f>
              <c:strCache>
                <c:ptCount val="3"/>
                <c:pt idx="0">
                  <c:v>DC</c:v>
                </c:pt>
                <c:pt idx="1">
                  <c:v>IP</c:v>
                </c:pt>
                <c:pt idx="2">
                  <c:v>OP</c:v>
                </c:pt>
              </c:strCache>
            </c:strRef>
          </c:cat>
          <c:val>
            <c:numRef>
              <c:f>Sheet2!$H$4:$H$7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40772186"/>
        <c:axId val="404997395"/>
      </c:barChart>
      <c:catAx>
        <c:axId val="74077218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997395"/>
        <c:crosses val="autoZero"/>
        <c:auto val="1"/>
        <c:lblAlgn val="ctr"/>
        <c:lblOffset val="100"/>
        <c:noMultiLvlLbl val="0"/>
      </c:catAx>
      <c:valAx>
        <c:axId val="4049973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7721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1305815-37a6-40af-be89-5b86254e78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Surgical vs Medical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Sheet2!$F$10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Sheet2!$E$11:$E$13</c:f>
              <c:strCache>
                <c:ptCount val="2"/>
                <c:pt idx="0">
                  <c:v>Medical</c:v>
                </c:pt>
                <c:pt idx="1">
                  <c:v>Surgery</c:v>
                </c:pt>
              </c:strCache>
            </c:strRef>
          </c:cat>
          <c:val>
            <c:numRef>
              <c:f>Sheet2!$F$11:$F$13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54b09d-2d38-45dc-8b2b-3081879fbc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[dashboard.xlsx]Sheet2!PivotTable7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Payer</a:t>
            </a:r>
          </a:p>
        </c:rich>
      </c:tx>
      <c:layout>
        <c:manualLayout>
          <c:xMode val="edge"/>
          <c:yMode val="edge"/>
          <c:x val="0.417823861122194"/>
          <c:y val="0.11291666568981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Sheet2!$I$10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Sheet2!$H$11:$H$13</c:f>
              <c:strCache>
                <c:ptCount val="2"/>
                <c:pt idx="0">
                  <c:v>Corporate</c:v>
                </c:pt>
                <c:pt idx="1">
                  <c:v>Insurance</c:v>
                </c:pt>
              </c:strCache>
            </c:strRef>
          </c:cat>
          <c:val>
            <c:numRef>
              <c:f>Sheet2!$I$11:$I$13</c:f>
              <c:numCache>
                <c:formatCode>General</c:formatCode>
                <c:ptCount val="2"/>
                <c:pt idx="0">
                  <c:v>125898</c:v>
                </c:pt>
                <c:pt idx="1">
                  <c:v>314480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24943132"/>
        <c:axId val="765943947"/>
      </c:barChart>
      <c:catAx>
        <c:axId val="52494313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943947"/>
        <c:crosses val="autoZero"/>
        <c:auto val="1"/>
        <c:lblAlgn val="ctr"/>
        <c:lblOffset val="100"/>
        <c:noMultiLvlLbl val="0"/>
      </c:catAx>
      <c:valAx>
        <c:axId val="7659439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49431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f58bd79-b745-44d3-89df-8be70b7f85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3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10795</xdr:colOff>
      <xdr:row>16</xdr:row>
      <xdr:rowOff>24765</xdr:rowOff>
    </xdr:from>
    <xdr:to>
      <xdr:col>14</xdr:col>
      <xdr:colOff>10795</xdr:colOff>
      <xdr:row>28</xdr:row>
      <xdr:rowOff>113665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2545" y="307276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477520</xdr:colOff>
      <xdr:row>15</xdr:row>
      <xdr:rowOff>156845</xdr:rowOff>
    </xdr:from>
    <xdr:to>
      <xdr:col>10</xdr:col>
      <xdr:colOff>582295</xdr:colOff>
      <xdr:row>28</xdr:row>
      <xdr:rowOff>55245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Case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se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5645" y="301434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274955</xdr:colOff>
      <xdr:row>15</xdr:row>
      <xdr:rowOff>167640</xdr:rowOff>
    </xdr:from>
    <xdr:to>
      <xdr:col>8</xdr:col>
      <xdr:colOff>465455</xdr:colOff>
      <xdr:row>28</xdr:row>
      <xdr:rowOff>66040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Surgical Mix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rgical Mi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4780" y="30251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690245</xdr:colOff>
      <xdr:row>15</xdr:row>
      <xdr:rowOff>153035</xdr:rowOff>
    </xdr:from>
    <xdr:to>
      <xdr:col>6</xdr:col>
      <xdr:colOff>337820</xdr:colOff>
      <xdr:row>28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Docto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cto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8845" y="30105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223520</xdr:colOff>
      <xdr:row>7</xdr:row>
      <xdr:rowOff>59055</xdr:rowOff>
    </xdr:from>
    <xdr:to>
      <xdr:col>7</xdr:col>
      <xdr:colOff>1466850</xdr:colOff>
      <xdr:row>21</xdr:row>
      <xdr:rowOff>61595</xdr:rowOff>
    </xdr:to>
    <xdr:graphicFrame>
      <xdr:nvGraphicFramePr>
        <xdr:cNvPr id="2" name="Chart 1"/>
        <xdr:cNvGraphicFramePr/>
      </xdr:nvGraphicFramePr>
      <xdr:xfrm>
        <a:off x="2233295" y="2002155"/>
        <a:ext cx="5501005" cy="2669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139065</xdr:colOff>
      <xdr:row>7</xdr:row>
      <xdr:rowOff>15240</xdr:rowOff>
    </xdr:from>
    <xdr:to>
      <xdr:col>15</xdr:col>
      <xdr:colOff>299720</xdr:colOff>
      <xdr:row>20</xdr:row>
      <xdr:rowOff>172720</xdr:rowOff>
    </xdr:to>
    <xdr:graphicFrame>
      <xdr:nvGraphicFramePr>
        <xdr:cNvPr id="3" name="Chart 2"/>
        <xdr:cNvGraphicFramePr/>
      </xdr:nvGraphicFramePr>
      <xdr:xfrm>
        <a:off x="8502015" y="1958340"/>
        <a:ext cx="9361170" cy="2633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7</xdr:col>
      <xdr:colOff>430530</xdr:colOff>
      <xdr:row>36</xdr:row>
      <xdr:rowOff>123190</xdr:rowOff>
    </xdr:to>
    <xdr:graphicFrame>
      <xdr:nvGraphicFramePr>
        <xdr:cNvPr id="4" name="Chart 3"/>
        <xdr:cNvGraphicFramePr/>
      </xdr:nvGraphicFramePr>
      <xdr:xfrm>
        <a:off x="609600" y="4800600"/>
        <a:ext cx="6088380" cy="2790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1395095</xdr:colOff>
      <xdr:row>21</xdr:row>
      <xdr:rowOff>128905</xdr:rowOff>
    </xdr:from>
    <xdr:to>
      <xdr:col>12</xdr:col>
      <xdr:colOff>171450</xdr:colOff>
      <xdr:row>37</xdr:row>
      <xdr:rowOff>61595</xdr:rowOff>
    </xdr:to>
    <xdr:graphicFrame>
      <xdr:nvGraphicFramePr>
        <xdr:cNvPr id="5" name="Chart 4"/>
        <xdr:cNvGraphicFramePr/>
      </xdr:nvGraphicFramePr>
      <xdr:xfrm>
        <a:off x="7662545" y="4739005"/>
        <a:ext cx="6257925" cy="2980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554355</xdr:colOff>
      <xdr:row>7</xdr:row>
      <xdr:rowOff>54610</xdr:rowOff>
    </xdr:from>
    <xdr:to>
      <xdr:col>23</xdr:col>
      <xdr:colOff>504190</xdr:colOff>
      <xdr:row>20</xdr:row>
      <xdr:rowOff>171450</xdr:rowOff>
    </xdr:to>
    <xdr:graphicFrame>
      <xdr:nvGraphicFramePr>
        <xdr:cNvPr id="6" name="Chart 5"/>
        <xdr:cNvGraphicFramePr/>
      </xdr:nvGraphicFramePr>
      <xdr:xfrm>
        <a:off x="18117820" y="1997710"/>
        <a:ext cx="7726680" cy="2593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132080</xdr:colOff>
      <xdr:row>22</xdr:row>
      <xdr:rowOff>89535</xdr:rowOff>
    </xdr:from>
    <xdr:to>
      <xdr:col>23</xdr:col>
      <xdr:colOff>530860</xdr:colOff>
      <xdr:row>37</xdr:row>
      <xdr:rowOff>169545</xdr:rowOff>
    </xdr:to>
    <xdr:sp>
      <xdr:nvSpPr>
        <xdr:cNvPr id="7" name="Text Box 6"/>
        <xdr:cNvSpPr txBox="1"/>
      </xdr:nvSpPr>
      <xdr:spPr>
        <a:xfrm>
          <a:off x="14490700" y="4890135"/>
          <a:ext cx="11380470" cy="2937510"/>
        </a:xfrm>
        <a:prstGeom prst="rect">
          <a:avLst/>
        </a:prstGeom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US" sz="2800" b="1"/>
            <a:t>Key Business Insights</a:t>
          </a:r>
          <a:endParaRPr lang="en-US" sz="2400"/>
        </a:p>
        <a:p>
          <a:pPr algn="l"/>
          <a:r>
            <a:rPr lang="en-US" sz="2400"/>
            <a:t>• Inpatient cases generate the majority of revenue, indicating higher monetization.</a:t>
          </a:r>
          <a:endParaRPr lang="en-US" sz="2400"/>
        </a:p>
        <a:p>
          <a:pPr algn="l"/>
          <a:r>
            <a:rPr lang="en-US" sz="2400"/>
            <a:t>• Insurance contributes the largest share of revenue, showing strong dependency on insured patients.</a:t>
          </a:r>
          <a:endParaRPr lang="en-US" sz="2400"/>
        </a:p>
        <a:p>
          <a:pPr algn="l"/>
          <a:r>
            <a:rPr lang="en-US" sz="2400"/>
            <a:t>• Higher LOS in IP cases suggests complex treatments or potential inefficiencies.</a:t>
          </a:r>
          <a:endParaRPr lang="en-US" sz="2400"/>
        </a:p>
        <a:p>
          <a:pPr algn="l"/>
          <a:r>
            <a:rPr lang="en-US" sz="2400"/>
            <a:t>• Revenue trends are volume-driven, closely aligned with case count.</a:t>
          </a:r>
          <a:endParaRPr lang="en-US" sz="2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83.6737847222" refreshedBy="sankalp" recordCount="501">
  <cacheSource type="worksheet">
    <worksheetSource ref="A1:U1048576" sheet="dummy_hospital_generated"/>
  </cacheSource>
  <cacheFields count="21">
    <cacheField name="Date" numFmtId="0">
      <sharedItems containsString="0" containsBlank="1" containsNonDate="0" containsDate="1" minDate="2025-01-01T00:00:00" maxDate="2025-12-01T00:00:00" count="13">
        <d v="2025-02-01T00:00:00"/>
        <d v="2025-10-01T00:00:00"/>
        <d v="2025-08-01T00:00:00"/>
        <d v="2025-06-01T00:00:00"/>
        <d v="2025-11-01T00:00:00"/>
        <d v="2025-09-01T00:00:00"/>
        <d v="2025-03-01T00:00:00"/>
        <d v="2025-07-01T00:00:00"/>
        <d v="2025-12-01T00:00:00"/>
        <d v="2025-05-01T00:00:00"/>
        <d v="2025-01-01T00:00:00"/>
        <d v="2025-04-01T00:00:00"/>
        <m/>
      </sharedItems>
    </cacheField>
    <cacheField name="Case_No" numFmtId="0">
      <sharedItems containsString="0" containsBlank="1" containsNumber="1" containsInteger="1" minValue="123458382" maxValue="123999511" count="499">
        <n v="123517868"/>
        <n v="123810649"/>
        <n v="123979661"/>
        <n v="123927914"/>
        <n v="123605097"/>
        <n v="123702919"/>
        <n v="123744872"/>
        <n v="123590824"/>
        <n v="123602168"/>
        <n v="123584744"/>
        <n v="123997051"/>
        <n v="123861831"/>
        <n v="123913425"/>
        <n v="123900212"/>
        <n v="123977773"/>
        <n v="123513271"/>
        <n v="123935607"/>
        <n v="123492207"/>
        <n v="123714628"/>
        <n v="123779371"/>
        <n v="123650676"/>
        <n v="123535518"/>
        <n v="123560611"/>
        <n v="123904616"/>
        <n v="123629385"/>
        <n v="123624821"/>
        <n v="123958307"/>
        <n v="123534266"/>
        <n v="123953904"/>
        <n v="123957007"/>
        <n v="123781615"/>
        <n v="123546049"/>
        <n v="123540788"/>
        <n v="123610887"/>
        <n v="123770113"/>
        <n v="123539565"/>
        <n v="123703877"/>
        <n v="123518826"/>
        <n v="123749914"/>
        <n v="123467504"/>
        <n v="123841714"/>
        <n v="123486135"/>
        <n v="123561982"/>
        <n v="123551004"/>
        <n v="123908059"/>
        <n v="123485039"/>
        <n v="123689516"/>
        <n v="123777581"/>
        <n v="123736701"/>
        <n v="123826308"/>
        <n v="123892886"/>
        <n v="123670134"/>
        <n v="123906549"/>
        <n v="123628986"/>
        <n v="123991524"/>
        <n v="123730461"/>
        <n v="123856390"/>
        <n v="123932001"/>
        <n v="123887201"/>
        <n v="123919014"/>
        <n v="123747862"/>
        <n v="123479650"/>
        <n v="123724236"/>
        <n v="123554734"/>
        <n v="123939678"/>
        <n v="123584788"/>
        <n v="123580069"/>
        <n v="123591666"/>
        <n v="123805555"/>
        <n v="123766749"/>
        <n v="123972168"/>
        <n v="123682446"/>
        <n v="123609559"/>
        <n v="123482794"/>
        <n v="123459849"/>
        <n v="123659245"/>
        <n v="123959643"/>
        <n v="123740921"/>
        <n v="123942089"/>
        <n v="123511309"/>
        <n v="123506766"/>
        <n v="123909400"/>
        <n v="123514067"/>
        <n v="123484267"/>
        <n v="123675826"/>
        <n v="123959113"/>
        <n v="123831023"/>
        <n v="123509917"/>
        <n v="123911398"/>
        <n v="123914903"/>
        <n v="123891578"/>
        <n v="123947042"/>
        <n v="123586493"/>
        <n v="123988885"/>
        <n v="123630458"/>
        <n v="123892301"/>
        <n v="123771173"/>
        <n v="123880035"/>
        <n v="123797533"/>
        <n v="123805510"/>
        <n v="123791257"/>
        <n v="123879773"/>
        <n v="123858038"/>
        <n v="123529196"/>
        <n v="123905373"/>
        <n v="123747620"/>
        <n v="123631757"/>
        <n v="123735736"/>
        <n v="123982038"/>
        <n v="123922518"/>
        <n v="123909531"/>
        <n v="123707762"/>
        <n v="123882570"/>
        <n v="123665488"/>
        <n v="123829273"/>
        <n v="123803921"/>
        <n v="123591890"/>
        <n v="123600955"/>
        <n v="123489256"/>
        <n v="123532033"/>
        <n v="123691888"/>
        <n v="123715964"/>
        <n v="123545825"/>
        <n v="123682787"/>
        <n v="123784671"/>
        <n v="123582517"/>
        <n v="123640000"/>
        <n v="123655926"/>
        <n v="123730748"/>
        <n v="123655317"/>
        <n v="123856897"/>
        <n v="123634157"/>
        <n v="123692039"/>
        <n v="123662428"/>
        <n v="123555506"/>
        <n v="123829043"/>
        <n v="123584082"/>
        <n v="123617500"/>
        <n v="123887256"/>
        <n v="123972177"/>
        <n v="123820938"/>
        <n v="123954492"/>
        <n v="123920678"/>
        <n v="123717614"/>
        <n v="123875037"/>
        <n v="123634628"/>
        <n v="123706509"/>
        <n v="123747275"/>
        <n v="123978507"/>
        <n v="123917616"/>
        <n v="123722153"/>
        <n v="123811006"/>
        <n v="123566081"/>
        <n v="123893588"/>
        <n v="123756852"/>
        <n v="123745800"/>
        <n v="123872857"/>
        <n v="123800306"/>
        <n v="123495422"/>
        <n v="123612756"/>
        <n v="123552134"/>
        <n v="123855781"/>
        <n v="123475120"/>
        <n v="123566107"/>
        <n v="123781009"/>
        <n v="123833969"/>
        <n v="123729797"/>
        <n v="123924230"/>
        <n v="123955902"/>
        <n v="123527863"/>
        <n v="123974165"/>
        <n v="123790221"/>
        <n v="123802102"/>
        <n v="123507731"/>
        <n v="123794297"/>
        <n v="123850788"/>
        <n v="123771949"/>
        <n v="123501964"/>
        <n v="123740635"/>
        <n v="123965150"/>
        <n v="123849537"/>
        <n v="123530749"/>
        <n v="123978205"/>
        <n v="123977629"/>
        <n v="123548150"/>
        <n v="123891680"/>
        <n v="123677253"/>
        <n v="123778962"/>
        <n v="123698180"/>
        <n v="123881746"/>
        <n v="123998181"/>
        <n v="123888541"/>
        <n v="123962665"/>
        <n v="123970637"/>
        <n v="123505017"/>
        <n v="123593840"/>
        <n v="123848689"/>
        <n v="123777000"/>
        <n v="123483279"/>
        <n v="123507706"/>
        <n v="123739177"/>
        <n v="123791193"/>
        <n v="123547239"/>
        <n v="123549182"/>
        <n v="123526360"/>
        <n v="123763332"/>
        <n v="123460272"/>
        <n v="123767401"/>
        <n v="123714904"/>
        <n v="123709495"/>
        <n v="123825525"/>
        <n v="123740311"/>
        <n v="123851894"/>
        <n v="123871573"/>
        <n v="123956543"/>
        <n v="123890788"/>
        <n v="123737631"/>
        <n v="123723730"/>
        <n v="123584225"/>
        <n v="123782178"/>
        <n v="123531689"/>
        <n v="123962591"/>
        <n v="123915703"/>
        <n v="123521134"/>
        <n v="123883559"/>
        <n v="123519704"/>
        <n v="123848345"/>
        <n v="123503713"/>
        <n v="123721576"/>
        <n v="123813876"/>
        <n v="123852472"/>
        <n v="123683722"/>
        <n v="123957362"/>
        <n v="123877230"/>
        <n v="123569295"/>
        <n v="123821149"/>
        <n v="123853410"/>
        <n v="123637498"/>
        <n v="123857597"/>
        <n v="123944710"/>
        <n v="123900509"/>
        <n v="123870816"/>
        <n v="123801165"/>
        <n v="123603170"/>
        <n v="123888600"/>
        <n v="123654120"/>
        <n v="123745514"/>
        <n v="123627055"/>
        <n v="123626280"/>
        <n v="123541740"/>
        <n v="123978944"/>
        <n v="123536394"/>
        <n v="123502924"/>
        <n v="123965252"/>
        <n v="123757926"/>
        <n v="123694219"/>
        <n v="123857194"/>
        <n v="123664525"/>
        <n v="123525589"/>
        <n v="123852948"/>
        <n v="123551743"/>
        <n v="123756827"/>
        <n v="123972291"/>
        <n v="123965259"/>
        <n v="123652265"/>
        <n v="123880483"/>
        <n v="123789295"/>
        <n v="123716776"/>
        <n v="123532120"/>
        <n v="123660739"/>
        <n v="123810642"/>
        <n v="123992726"/>
        <n v="123458660"/>
        <n v="123846460"/>
        <n v="123916406"/>
        <n v="123973448"/>
        <n v="123686548"/>
        <n v="123520452"/>
        <n v="123603405"/>
        <n v="123918689"/>
        <n v="123933595"/>
        <n v="123802567"/>
        <n v="123522770"/>
        <n v="123522325"/>
        <n v="123716125"/>
        <n v="123776011"/>
        <n v="123473613"/>
        <n v="123829235"/>
        <n v="123752212"/>
        <n v="123462692"/>
        <n v="123508048"/>
        <n v="123703148"/>
        <n v="123849085"/>
        <n v="123905016"/>
        <n v="123690627"/>
        <n v="123616675"/>
        <n v="123982759"/>
        <n v="123705449"/>
        <n v="123627571"/>
        <n v="123696618"/>
        <n v="123462577"/>
        <n v="123620248"/>
        <n v="123736461"/>
        <n v="123955631"/>
        <n v="123857594"/>
        <n v="123881023"/>
        <n v="123752425"/>
        <n v="123516159"/>
        <n v="123668663"/>
        <n v="123998385"/>
        <n v="123480028"/>
        <n v="123934283"/>
        <n v="123828364"/>
        <n v="123610445"/>
        <n v="123879225"/>
        <n v="123911270"/>
        <n v="123479511"/>
        <n v="123513892"/>
        <n v="123818167"/>
        <n v="123999511"/>
        <n v="123469037"/>
        <n v="123818131"/>
        <n v="123530269"/>
        <n v="123809667"/>
        <n v="123795082"/>
        <n v="123505199"/>
        <n v="123826315"/>
        <n v="123943985"/>
        <n v="123925712"/>
        <n v="123471775"/>
        <n v="123589778"/>
        <n v="123587010"/>
        <n v="123702590"/>
        <n v="123533803"/>
        <n v="123920763"/>
        <n v="123878560"/>
        <n v="123895741"/>
        <n v="123563822"/>
        <n v="123463927"/>
        <n v="123951386"/>
        <n v="123613165"/>
        <n v="123813009"/>
        <n v="123950732"/>
        <n v="123475672"/>
        <n v="123458977"/>
        <n v="123458953"/>
        <n v="123541041"/>
        <n v="123484101"/>
        <n v="123902068"/>
        <n v="123785622"/>
        <n v="123989144"/>
        <n v="123892005"/>
        <n v="123979973"/>
        <n v="123585772"/>
        <n v="123612562"/>
        <n v="123918077"/>
        <n v="123589215"/>
        <n v="123487134"/>
        <n v="123820006"/>
        <n v="123891723"/>
        <n v="123982697"/>
        <n v="123960719"/>
        <n v="123521405"/>
        <n v="123876026"/>
        <n v="123916292"/>
        <n v="123835777"/>
        <n v="123901970"/>
        <n v="123911860"/>
        <n v="123698922"/>
        <n v="123477842"/>
        <n v="123704169"/>
        <n v="123565769"/>
        <n v="123523958"/>
        <n v="123835370"/>
        <n v="123730464"/>
        <n v="123749671"/>
        <n v="123861381"/>
        <n v="123754257"/>
        <n v="123798725"/>
        <n v="123502797"/>
        <n v="123700136"/>
        <n v="123540435"/>
        <n v="123898449"/>
        <n v="123855633"/>
        <n v="123484846"/>
        <n v="123561014"/>
        <n v="123464567"/>
        <n v="123603292"/>
        <n v="123510389"/>
        <n v="123842187"/>
        <n v="123740268"/>
        <n v="123989230"/>
        <n v="123863685"/>
        <n v="123788679"/>
        <n v="123733065"/>
        <n v="123485648"/>
        <n v="123494189"/>
        <n v="123791271"/>
        <n v="123458382"/>
        <n v="123479038"/>
        <n v="123575209"/>
        <n v="123936974"/>
        <n v="123705657"/>
        <n v="123842009"/>
        <n v="123679889"/>
        <n v="123550181"/>
        <n v="123657908"/>
        <n v="123505896"/>
        <n v="123875016"/>
        <n v="123555841"/>
        <n v="123660748"/>
        <n v="123989133"/>
        <n v="123778027"/>
        <n v="123705456"/>
        <n v="123751398"/>
        <n v="123882539"/>
        <n v="123594437"/>
        <n v="123802205"/>
        <n v="123930743"/>
        <n v="123767392"/>
        <n v="123698917"/>
        <n v="123534950"/>
        <n v="123591069"/>
        <n v="123970636"/>
        <n v="123750444"/>
        <n v="123619930"/>
        <n v="123683591"/>
        <n v="123770440"/>
        <n v="123748425"/>
        <n v="123836677"/>
        <n v="123596075"/>
        <n v="123809182"/>
        <n v="123696815"/>
        <n v="123967682"/>
        <n v="123541909"/>
        <n v="123536750"/>
        <n v="123707141"/>
        <n v="123732543"/>
        <n v="123831835"/>
        <n v="123675794"/>
        <n v="123953060"/>
        <n v="123713947"/>
        <n v="123526358"/>
        <n v="123520854"/>
        <n v="123985531"/>
        <n v="123528947"/>
        <n v="123971630"/>
        <n v="123607272"/>
        <n v="123506814"/>
        <n v="123621758"/>
        <n v="123790395"/>
        <n v="123688778"/>
        <n v="123883354"/>
        <n v="123788376"/>
        <n v="123674026"/>
        <n v="123801237"/>
        <n v="123984474"/>
        <n v="123680024"/>
        <n v="123539473"/>
        <n v="123678377"/>
        <n v="123913021"/>
        <n v="123574389"/>
        <n v="123972332"/>
        <n v="123776038"/>
        <n v="123783255"/>
        <n v="123628469"/>
        <n v="123956727"/>
        <n v="123475616"/>
        <n v="123618476"/>
        <n v="123683609"/>
        <n v="123715637"/>
        <n v="123713927"/>
        <n v="123536470"/>
        <n v="123578722"/>
        <n v="123507811"/>
        <n v="123767416"/>
        <n v="123646872"/>
        <n v="123763779"/>
        <n v="123776804"/>
        <n v="123837888"/>
        <n v="123753586"/>
        <n v="123808483"/>
        <n v="123775409"/>
        <n v="123810922"/>
        <n v="123791453"/>
        <n v="123628020"/>
        <n v="123589978"/>
        <n v="123884362"/>
        <n v="123642429"/>
        <n v="123754733"/>
        <n v="123563153"/>
        <n v="123690691"/>
        <n v="123744136"/>
        <n v="123796550"/>
        <n v="123742348"/>
        <n v="123652197"/>
        <n v="123979202"/>
        <n v="123734929"/>
        <m/>
      </sharedItems>
    </cacheField>
    <cacheField name="DOB" numFmtId="0">
      <sharedItems containsString="0" containsBlank="1" containsNumber="1" containsInteger="1" minValue="1955" maxValue="2005" count="52">
        <n v="2002"/>
        <n v="1981"/>
        <n v="1990"/>
        <n v="1991"/>
        <n v="2000"/>
        <n v="1983"/>
        <n v="1958"/>
        <n v="1959"/>
        <n v="1979"/>
        <n v="1973"/>
        <n v="1996"/>
        <n v="1975"/>
        <n v="1998"/>
        <n v="1987"/>
        <n v="1997"/>
        <n v="1960"/>
        <n v="1995"/>
        <n v="1956"/>
        <n v="1992"/>
        <n v="2004"/>
        <n v="1993"/>
        <n v="1988"/>
        <n v="1994"/>
        <n v="1984"/>
        <n v="1982"/>
        <n v="1967"/>
        <n v="1968"/>
        <n v="2003"/>
        <n v="1999"/>
        <n v="2005"/>
        <n v="1969"/>
        <n v="1963"/>
        <n v="1957"/>
        <n v="1974"/>
        <n v="1970"/>
        <n v="1986"/>
        <n v="2001"/>
        <n v="1962"/>
        <n v="1964"/>
        <n v="1985"/>
        <n v="1961"/>
        <n v="1971"/>
        <n v="1978"/>
        <n v="1955"/>
        <n v="1977"/>
        <n v="1980"/>
        <n v="1966"/>
        <n v="1989"/>
        <n v="1965"/>
        <n v="1972"/>
        <n v="1976"/>
        <m/>
      </sharedItems>
    </cacheField>
    <cacheField name="Nationality" numFmtId="0">
      <sharedItems containsBlank="1" count="15">
        <s v="Pakistan"/>
        <s v="Indonesia"/>
        <s v="Egypt"/>
        <s v="Germany"/>
        <s v="UAE"/>
        <s v="USA"/>
        <s v="Oman"/>
        <s v="Philippines"/>
        <s v="India"/>
        <s v="Sri Lanka"/>
        <s v="Japan"/>
        <s v="Bangladesh"/>
        <s v="Netherlands"/>
        <s v="Denmark"/>
        <m/>
      </sharedItems>
    </cacheField>
    <cacheField name="Gender" numFmtId="0">
      <sharedItems containsBlank="1" count="3">
        <s v="F"/>
        <s v="M"/>
        <m/>
      </sharedItems>
    </cacheField>
    <cacheField name="DoctorLicense" numFmtId="0">
      <sharedItems containsBlank="1" count="11">
        <s v="ABC123"/>
        <s v="VBN123"/>
        <s v="FGH123"/>
        <s v="HJK123"/>
        <s v="ABC234"/>
        <s v="ABC456"/>
        <s v="QWE123"/>
        <s v="FGH234"/>
        <s v="DEF232"/>
        <s v="QWE234"/>
        <m/>
      </sharedItems>
    </cacheField>
    <cacheField name="DoctorName" numFmtId="0">
      <sharedItems containsBlank="1" count="11">
        <s v="Dr. Shawn Martin"/>
        <s v="Dr. Peter Novak"/>
        <s v="Dr. Sofia Kim"/>
        <s v="Dr. Priya Iyer"/>
        <s v="Dr. Thomas Muller"/>
        <s v="Dr. Ahmed Zayed"/>
        <s v="Dr. Omar Khalid"/>
        <s v="Dr. Hana Suzuki"/>
        <s v="Dr. Lily James"/>
        <s v="Dr. Aisha Rahman"/>
        <m/>
      </sharedItems>
    </cacheField>
    <cacheField name="Doctor Type" numFmtId="0">
      <sharedItems containsBlank="1" count="4">
        <s v="Consultant"/>
        <s v="GP"/>
        <s v="Specialist"/>
        <m/>
      </sharedItems>
    </cacheField>
    <cacheField name="Doctor Status" numFmtId="0">
      <sharedItems containsBlank="1" count="3">
        <s v="Inactive"/>
        <s v="Active"/>
        <m/>
      </sharedItems>
    </cacheField>
    <cacheField name="CMI Value" numFmtId="0">
      <sharedItems containsString="0" containsBlank="1" containsNumber="1" minValue="0.71" maxValue="1.394" count="293">
        <n v="1.048"/>
        <n v="0.942"/>
        <n v="1.089"/>
        <n v="0.97"/>
        <n v="1.006"/>
        <n v="1.017"/>
        <n v="0.71"/>
        <n v="0.998"/>
        <n v="1.033"/>
        <n v="1.142"/>
        <n v="0.851"/>
        <n v="1.126"/>
        <n v="1.042"/>
        <n v="1.125"/>
        <n v="1.055"/>
        <n v="1.191"/>
        <n v="0.883"/>
        <n v="1.071"/>
        <n v="0.903"/>
        <n v="0.885"/>
        <n v="0.948"/>
        <n v="1.051"/>
        <n v="0.898"/>
        <n v="1.038"/>
        <n v="0.889"/>
        <n v="0.897"/>
        <n v="1.097"/>
        <n v="1.13"/>
        <n v="0.905"/>
        <n v="0.96"/>
        <n v="1.062"/>
        <n v="1.002"/>
        <n v="1.045"/>
        <n v="1.11"/>
        <n v="0.937"/>
        <n v="1.013"/>
        <n v="0.958"/>
        <n v="0.933"/>
        <n v="1.001"/>
        <n v="1.047"/>
        <n v="1.083"/>
        <n v="0.895"/>
        <n v="0.938"/>
        <n v="1"/>
        <n v="1.106"/>
        <n v="1.052"/>
        <n v="1.132"/>
        <n v="0.952"/>
        <n v="1.035"/>
        <n v="1.261"/>
        <n v="0.972"/>
        <n v="1.244"/>
        <n v="1.004"/>
        <n v="1.112"/>
        <n v="1.127"/>
        <n v="1.195"/>
        <n v="0.981"/>
        <n v="0.932"/>
        <n v="0.936"/>
        <n v="1.151"/>
        <n v="1.25"/>
        <n v="0.862"/>
        <n v="1.007"/>
        <n v="0.856"/>
        <n v="1.283"/>
        <n v="1.03"/>
        <n v="1.158"/>
        <n v="0.866"/>
        <n v="1.011"/>
        <n v="1.095"/>
        <n v="1.108"/>
        <n v="1.241"/>
        <n v="0.975"/>
        <n v="1.018"/>
        <n v="0.992"/>
        <n v="1.231"/>
        <n v="1.184"/>
        <n v="0.946"/>
        <n v="1.094"/>
        <n v="1.082"/>
        <n v="0.934"/>
        <n v="1.221"/>
        <n v="0.941"/>
        <n v="0.987"/>
        <n v="1.111"/>
        <n v="1.15"/>
        <n v="1.235"/>
        <n v="1.069"/>
        <n v="1.09"/>
        <n v="0.98"/>
        <n v="1.025"/>
        <n v="0.818"/>
        <n v="0.927"/>
        <n v="1.022"/>
        <n v="0.949"/>
        <n v="1.218"/>
        <n v="1.056"/>
        <n v="1.128"/>
        <n v="0.976"/>
        <n v="1.091"/>
        <n v="0.983"/>
        <n v="1.066"/>
        <n v="1.008"/>
        <n v="1.156"/>
        <n v="1.092"/>
        <n v="0.75"/>
        <n v="1.118"/>
        <n v="0.832"/>
        <n v="1.061"/>
        <n v="1.169"/>
        <n v="0.974"/>
        <n v="0.87"/>
        <n v="1.123"/>
        <n v="1.165"/>
        <n v="0.922"/>
        <n v="0.965"/>
        <n v="1.099"/>
        <n v="0.968"/>
        <n v="1.202"/>
        <n v="0.919"/>
        <n v="0.771"/>
        <n v="0.89"/>
        <n v="1.222"/>
        <n v="1.253"/>
        <n v="1.103"/>
        <n v="1.031"/>
        <n v="0.917"/>
        <n v="0.864"/>
        <n v="1.166"/>
        <n v="1.252"/>
        <n v="1.189"/>
        <n v="0.826"/>
        <n v="0.893"/>
        <n v="1.154"/>
        <n v="1.37"/>
        <n v="0.892"/>
        <n v="1.093"/>
        <n v="0.896"/>
        <n v="1.131"/>
        <n v="1.067"/>
        <n v="0.953"/>
        <n v="0.94"/>
        <n v="0.988"/>
        <n v="0.881"/>
        <n v="0.865"/>
        <n v="0.977"/>
        <n v="0.853"/>
        <n v="0.99"/>
        <n v="1.074"/>
        <n v="1.116"/>
        <n v="1.084"/>
        <n v="0.959"/>
        <n v="0.882"/>
        <n v="1.08"/>
        <n v="1.198"/>
        <n v="1.18"/>
        <n v="1.053"/>
        <n v="0.872"/>
        <n v="1.185"/>
        <n v="0.999"/>
        <n v="1.039"/>
        <n v="1.015"/>
        <n v="1.117"/>
        <n v="1.177"/>
        <n v="0.871"/>
        <n v="0.956"/>
        <n v="1.294"/>
        <n v="1.096"/>
        <n v="0.994"/>
        <n v="0.996"/>
        <n v="1.079"/>
        <n v="1.162"/>
        <n v="1.115"/>
        <n v="1.394"/>
        <n v="1.155"/>
        <n v="1.152"/>
        <n v="1.213"/>
        <n v="1.171"/>
        <n v="0.944"/>
        <n v="0.811"/>
        <n v="1.122"/>
        <n v="1.1"/>
        <n v="0.982"/>
        <n v="1.06"/>
        <n v="0.899"/>
        <n v="0.84"/>
        <n v="1.104"/>
        <n v="1.087"/>
        <n v="1.058"/>
        <n v="1.059"/>
        <n v="0.964"/>
        <n v="0.815"/>
        <n v="0.877"/>
        <n v="1.148"/>
        <n v="0.901"/>
        <n v="1.12"/>
        <n v="1.068"/>
        <n v="0.906"/>
        <n v="1.003"/>
        <n v="1.173"/>
        <n v="1.247"/>
        <n v="1.07"/>
        <n v="1.114"/>
        <n v="1.333"/>
        <n v="1.01"/>
        <n v="1.266"/>
        <n v="1.036"/>
        <n v="1.046"/>
        <n v="1.029"/>
        <n v="1.149"/>
        <n v="1.181"/>
        <n v="1.255"/>
        <n v="0.902"/>
        <n v="1.049"/>
        <n v="1.227"/>
        <n v="1.196"/>
        <n v="1.163"/>
        <n v="0.887"/>
        <n v="1.005"/>
        <n v="1.072"/>
        <n v="0.989"/>
        <n v="1.063"/>
        <n v="1.199"/>
        <n v="1.22"/>
        <n v="0.854"/>
        <n v="1.139"/>
        <n v="1.041"/>
        <n v="0.878"/>
        <n v="0.841"/>
        <n v="1.027"/>
        <n v="0.954"/>
        <n v="1.14"/>
        <n v="1.167"/>
        <n v="0.846"/>
        <n v="0.997"/>
        <n v="1.279"/>
        <n v="1.105"/>
        <n v="1.141"/>
        <n v="0.961"/>
        <n v="1.075"/>
        <n v="1.101"/>
        <n v="0.943"/>
        <n v="0.963"/>
        <n v="1.153"/>
        <n v="0.875"/>
        <n v="0.867"/>
        <n v="0.973"/>
        <n v="0.928"/>
        <n v="0.868"/>
        <n v="0.947"/>
        <n v="1.044"/>
        <n v="1.188"/>
        <n v="1.209"/>
        <n v="1.009"/>
        <n v="1.024"/>
        <n v="1.076"/>
        <n v="1.161"/>
        <n v="1.088"/>
        <n v="1.129"/>
        <n v="1.226"/>
        <n v="0.796"/>
        <n v="0.909"/>
        <n v="0.93"/>
        <n v="1.012"/>
        <n v="1.229"/>
        <n v="1.078"/>
        <n v="0.827"/>
        <n v="1.183"/>
        <n v="0.995"/>
        <n v="0.85"/>
        <n v="1.16"/>
        <n v="1.05"/>
        <n v="1.216"/>
        <n v="0.824"/>
        <n v="1.197"/>
        <n v="0.984"/>
        <n v="0.986"/>
        <n v="1.121"/>
        <n v="1.107"/>
        <n v="1.207"/>
        <n v="1.174"/>
        <n v="0.861"/>
        <n v="1.212"/>
        <n v="0.805"/>
        <n v="0.9"/>
        <n v="1.192"/>
        <n v="0.951"/>
        <n v="0.777"/>
        <n v="0.886"/>
        <n v="0.935"/>
        <n v="0.92"/>
        <n v="1.037"/>
        <m/>
      </sharedItems>
    </cacheField>
    <cacheField name="Specialty" numFmtId="0">
      <sharedItems containsBlank="1" count="11">
        <s v="Emergency"/>
        <s v="Orthopaedics"/>
        <s v="Internal Medicine"/>
        <s v="Obstetrics &amp; Gynecology"/>
        <s v="Nephrology"/>
        <s v="Gastroenterology"/>
        <s v="Family Medicine"/>
        <s v="General Surgery"/>
        <s v="Cardiology"/>
        <s v="Pulmonology"/>
        <m/>
      </sharedItems>
    </cacheField>
    <cacheField name="Insurance/Payer" numFmtId="0">
      <sharedItems containsBlank="1" count="7">
        <s v="PureWin Insurance"/>
        <s v="BlueMedic Charity"/>
        <s v="Nextcare Insurance"/>
        <s v="Goodhealth Insurance"/>
        <s v="TotalHealth Insurance"/>
        <s v="Self-Pay Corporate"/>
        <m/>
      </sharedItems>
    </cacheField>
    <cacheField name="InsurancePlanName" numFmtId="0">
      <sharedItems containsBlank="1" count="11">
        <s v="Premium"/>
        <s v="Basic"/>
        <s v="N/A"/>
        <s v="NC-Blue"/>
        <s v="GH-2"/>
        <s v="Advance"/>
        <s v="TH-Standard"/>
        <s v="TH-Plus"/>
        <s v="GH-1"/>
        <s v="NC-Gold"/>
        <m/>
      </sharedItems>
    </cacheField>
    <cacheField name="Payer Mix" numFmtId="0">
      <sharedItems containsBlank="1" count="3">
        <s v="Insurance"/>
        <s v="Corporate"/>
        <m/>
      </sharedItems>
    </cacheField>
    <cacheField name="Case type" numFmtId="0">
      <sharedItems containsBlank="1" count="4">
        <s v="OP"/>
        <s v="IP"/>
        <s v="DC"/>
        <m/>
      </sharedItems>
    </cacheField>
    <cacheField name="LOS" numFmtId="0">
      <sharedItems containsString="0" containsBlank="1" containsNumber="1" containsInteger="1" minValue="0" maxValue="7" count="9">
        <n v="0"/>
        <n v="5"/>
        <n v="4"/>
        <n v="6"/>
        <n v="3"/>
        <n v="1"/>
        <n v="2"/>
        <n v="7"/>
        <m/>
      </sharedItems>
    </cacheField>
    <cacheField name="Severity" numFmtId="0">
      <sharedItems containsString="0" containsBlank="1" containsNumber="1" containsInteger="1" minValue="1" maxValue="3" count="4">
        <n v="1"/>
        <n v="2"/>
        <n v="3"/>
        <m/>
      </sharedItems>
    </cacheField>
    <cacheField name="Surgical Mix" numFmtId="0">
      <sharedItems containsBlank="1" count="3">
        <s v="Medical"/>
        <s v="Surgery"/>
        <m/>
      </sharedItems>
    </cacheField>
    <cacheField name="Discharge Time" numFmtId="0">
      <sharedItems containsBlank="1" containsDate="1" containsMixedTypes="1" count="230">
        <d v="1899-12-30T07:00:00"/>
        <s v="N/A"/>
        <d v="1899-12-30T09:13:00"/>
        <d v="1899-12-30T13:39:00"/>
        <d v="1899-12-30T16:22:00"/>
        <d v="1899-12-30T16:45:00"/>
        <d v="1899-12-30T15:00:00"/>
        <d v="1899-12-30T07:37:00"/>
        <d v="1899-12-30T16:53:00"/>
        <d v="1899-12-30T07:31:00"/>
        <d v="1899-12-30T15:04:00"/>
        <d v="1899-12-30T11:06:00"/>
        <d v="1899-12-30T08:15:00"/>
        <d v="1899-12-30T07:59:00"/>
        <d v="1899-12-30T11:36:00"/>
        <d v="1899-12-30T08:16:00"/>
        <d v="1899-12-30T09:37:00"/>
        <d v="1899-12-30T07:49:00"/>
        <d v="1899-12-30T14:00:00"/>
        <d v="1899-12-30T06:05:00"/>
        <d v="1899-12-30T06:25:00"/>
        <d v="1899-12-30T11:52:00"/>
        <d v="1899-12-30T11:15:00"/>
        <d v="1899-12-30T17:35:00"/>
        <d v="1899-12-30T16:50:00"/>
        <d v="1899-12-30T21:32:00"/>
        <d v="1899-12-30T08:58:00"/>
        <d v="1899-12-30T21:28:00"/>
        <d v="1899-12-30T20:02:00"/>
        <d v="1899-12-30T16:26:00"/>
        <d v="1899-12-30T13:42:00"/>
        <d v="1899-12-30T12:21:00"/>
        <d v="1899-12-30T07:29:00"/>
        <d v="1899-12-30T18:49:00"/>
        <d v="1899-12-30T17:38:00"/>
        <d v="1899-12-30T20:59:00"/>
        <d v="1899-12-30T17:41:00"/>
        <d v="1899-12-30T21:18:00"/>
        <d v="1899-12-30T20:11:00"/>
        <d v="1899-12-30T07:14:00"/>
        <d v="1899-12-30T17:15:00"/>
        <d v="1899-12-30T10:13:00"/>
        <d v="1899-12-30T18:43:00"/>
        <d v="1899-12-30T15:44:00"/>
        <d v="1899-12-30T13:02:00"/>
        <d v="1899-12-30T16:03:00"/>
        <d v="1899-12-30T10:26:00"/>
        <d v="1899-12-30T15:57:00"/>
        <d v="1899-12-30T13:35:00"/>
        <d v="1899-12-30T11:08:00"/>
        <d v="1899-12-30T21:36:00"/>
        <d v="1899-12-30T07:01:00"/>
        <d v="1899-12-30T18:07:00"/>
        <d v="1899-12-30T10:23:00"/>
        <d v="1899-12-30T09:33:00"/>
        <d v="1899-12-30T08:21:00"/>
        <d v="1899-12-30T07:38:00"/>
        <d v="1899-12-30T07:58:00"/>
        <d v="1899-12-30T19:19:00"/>
        <d v="1899-12-30T20:49:00"/>
        <d v="1899-12-30T15:21:00"/>
        <d v="1899-12-30T06:13:00"/>
        <d v="1899-12-30T19:49:00"/>
        <d v="1899-12-30T15:37:00"/>
        <d v="1899-12-30T08:06:00"/>
        <d v="1899-12-30T21:09:00"/>
        <d v="1899-12-30T12:33:00"/>
        <d v="1899-12-30T11:45:00"/>
        <d v="1899-12-30T09:10:00"/>
        <d v="1899-12-30T14:26:00"/>
        <d v="1899-12-30T17:28:00"/>
        <d v="1899-12-30T17:07:00"/>
        <d v="1899-12-30T19:25:00"/>
        <d v="1899-12-30T11:04:00"/>
        <d v="1899-12-30T07:09:00"/>
        <d v="1899-12-30T13:38:00"/>
        <d v="1899-12-30T16:21:00"/>
        <d v="1899-12-30T19:04:00"/>
        <d v="1899-12-30T10:16:00"/>
        <d v="1899-12-30T17:55:00"/>
        <d v="1899-12-30T09:59:00"/>
        <d v="1899-12-30T18:56:00"/>
        <d v="1899-12-30T08:23:00"/>
        <d v="1899-12-30T21:47:00"/>
        <d v="1899-12-30T16:34:00"/>
        <d v="1899-12-30T11:55:00"/>
        <d v="1899-12-30T12:59:00"/>
        <d v="1899-12-30T17:57:00"/>
        <d v="1899-12-30T09:47:00"/>
        <d v="1899-12-30T08:19:00"/>
        <d v="1899-12-30T15:09:00"/>
        <d v="1899-12-30T16:39:00"/>
        <d v="1899-12-30T12:44:00"/>
        <d v="1899-12-30T17:50:00"/>
        <d v="1899-12-30T07:08:00"/>
        <d v="1899-12-30T17:59:00"/>
        <d v="1899-12-30T07:16:00"/>
        <d v="1899-12-30T20:10:00"/>
        <d v="1899-12-30T20:45:00"/>
        <d v="1899-12-30T11:35:00"/>
        <d v="1899-12-30T06:44:00"/>
        <d v="1899-12-30T16:27:00"/>
        <d v="1899-12-30T07:26:00"/>
        <d v="1899-12-30T11:37:00"/>
        <d v="1899-12-30T17:14:00"/>
        <d v="1899-12-30T06:45:00"/>
        <d v="1899-12-30T15:42:00"/>
        <d v="1899-12-30T18:01:00"/>
        <d v="1899-12-30T08:38:00"/>
        <d v="1899-12-30T08:52:00"/>
        <d v="1899-12-30T15:23:00"/>
        <d v="1899-12-30T12:43:00"/>
        <d v="1899-12-30T13:25:00"/>
        <d v="1899-12-30T14:08:00"/>
        <d v="1899-12-30T14:48:00"/>
        <d v="1899-12-30T11:20:00"/>
        <d v="1899-12-30T08:33:00"/>
        <d v="1899-12-30T08:42:00"/>
        <d v="1899-12-30T10:14:00"/>
        <d v="1899-12-30T10:53:00"/>
        <d v="1899-12-30T14:15:00"/>
        <d v="1899-12-30T20:35:00"/>
        <d v="1899-12-30T07:43:00"/>
        <d v="1899-12-30T09:26:00"/>
        <d v="1899-12-30T11:27:00"/>
        <d v="1899-12-30T10:51:00"/>
        <d v="1899-12-30T17:12:00"/>
        <d v="1899-12-30T09:51:00"/>
        <d v="1899-12-30T12:37:00"/>
        <d v="1899-12-30T17:34:00"/>
        <d v="1899-12-30T21:19:00"/>
        <d v="1899-12-30T11:02:00"/>
        <d v="1899-12-30T17:08:00"/>
        <d v="1899-12-30T16:58:00"/>
        <d v="1899-12-30T16:18:00"/>
        <d v="1899-12-30T17:18:00"/>
        <d v="1899-12-30T06:18:00"/>
        <d v="1899-12-30T20:29:00"/>
        <d v="1899-12-30T20:06:00"/>
        <d v="1899-12-30T16:20:00"/>
        <d v="1899-12-30T07:05:00"/>
        <d v="1899-12-30T19:59:00"/>
        <d v="1899-12-30T10:19:00"/>
        <d v="1899-12-30T10:11:00"/>
        <d v="1899-12-30T17:19:00"/>
        <d v="1899-12-30T06:33:00"/>
        <d v="1899-12-30T13:54:00"/>
        <d v="1899-12-30T10:46:00"/>
        <d v="1899-12-30T14:46:00"/>
        <d v="1899-12-30T15:32:00"/>
        <d v="1899-12-30T21:22:00"/>
        <d v="1899-12-30T12:07:00"/>
        <d v="1899-12-30T18:22:00"/>
        <d v="1899-12-30T06:22:00"/>
        <d v="1899-12-30T11:01:00"/>
        <d v="1899-12-30T20:44:00"/>
        <d v="1899-12-30T17:25:00"/>
        <d v="1899-12-30T21:37:00"/>
        <d v="1899-12-30T19:23:00"/>
        <d v="1899-12-30T20:14:00"/>
        <d v="1899-12-30T21:44:00"/>
        <d v="1899-12-30T15:31:00"/>
        <d v="1899-12-30T17:21:00"/>
        <d v="1899-12-30T08:46:00"/>
        <d v="1899-12-30T20:08:00"/>
        <d v="1899-12-30T11:41:00"/>
        <d v="1899-12-30T12:51:00"/>
        <d v="1899-12-30T06:31:00"/>
        <d v="1899-12-30T10:36:00"/>
        <d v="1899-12-30T21:30:00"/>
        <d v="1899-12-30T08:14:00"/>
        <d v="1899-12-30T09:52:00"/>
        <d v="1899-12-30T20:32:00"/>
        <d v="1899-12-30T11:42:00"/>
        <d v="1899-12-30T08:48:00"/>
        <d v="1899-12-30T15:13:00"/>
        <d v="1899-12-30T12:20:00"/>
        <d v="1899-12-30T16:40:00"/>
        <d v="1899-12-30T07:32:00"/>
        <d v="1899-12-30T20:54:00"/>
        <d v="1899-12-30T10:41:00"/>
        <d v="1899-12-30T09:38:00"/>
        <d v="1899-12-30T14:36:00"/>
        <d v="1899-12-30T19:37:00"/>
        <d v="1899-12-30T14:22:00"/>
        <d v="1899-12-30T15:33:00"/>
        <d v="1899-12-30T17:46:00"/>
        <d v="1899-12-30T20:15:00"/>
        <d v="1899-12-30T11:47:00"/>
        <d v="1899-12-30T07:21:00"/>
        <d v="1899-12-30T19:30:00"/>
        <d v="1899-12-30T21:13:00"/>
        <d v="1899-12-30T10:42:00"/>
        <d v="1899-12-30T14:58:00"/>
        <d v="1899-12-30T19:09:00"/>
        <d v="1899-12-30T09:40:00"/>
        <d v="1899-12-30T08:22:00"/>
        <d v="1899-12-30T19:07:00"/>
        <d v="1899-12-30T19:56:00"/>
        <d v="1899-12-30T09:08:00"/>
        <d v="1899-12-30T18:06:00"/>
        <d v="1899-12-30T18:34:00"/>
        <d v="1899-12-30T11:44:00"/>
        <d v="1899-12-30T17:16:00"/>
        <d v="1899-12-30T16:01:00"/>
        <d v="1899-12-30T10:32:00"/>
        <d v="1899-12-30T11:57:00"/>
        <d v="1899-12-30T15:08:00"/>
        <d v="1899-12-30T10:33:00"/>
        <d v="1899-12-30T06:51:00"/>
        <d v="1899-12-30T10:28:00"/>
        <d v="1899-12-30T06:41:00"/>
        <d v="1899-12-30T07:18:00"/>
        <d v="1899-12-30T06:52:00"/>
        <d v="1899-12-30T07:42:00"/>
        <d v="1899-12-30T15:07:00"/>
        <d v="1899-12-30T06:55:00"/>
        <d v="1899-12-30T08:02:00"/>
        <d v="1899-12-30T08:18:00"/>
        <d v="1899-12-30T11:17:00"/>
        <d v="1899-12-30T18:12:00"/>
        <d v="1899-12-30T20:30:00"/>
        <d v="1899-12-30T10:00:00"/>
        <d v="1899-12-30T14:17:00"/>
        <d v="1899-12-30T18:45:00"/>
        <d v="1899-12-30T08:26:00"/>
        <d v="1899-12-30T19:24:00"/>
        <d v="1899-12-30T19:52:00"/>
        <d v="1899-12-30T09:07:00"/>
        <m/>
      </sharedItems>
    </cacheField>
    <cacheField name="Discharge Before 12PM" numFmtId="0">
      <sharedItems containsBlank="1" count="4">
        <s v="Yes"/>
        <s v="N/A"/>
        <s v="No"/>
        <m/>
      </sharedItems>
    </cacheField>
    <cacheField name="Revenue" numFmtId="0">
      <sharedItems containsString="0" containsBlank="1" containsNumber="1" containsInteger="1" minValue="99" maxValue="160962" count="483">
        <n v="548"/>
        <n v="1198"/>
        <n v="586"/>
        <n v="28717"/>
        <n v="117129"/>
        <n v="1076"/>
        <n v="353"/>
        <n v="66031"/>
        <n v="49607"/>
        <n v="950"/>
        <n v="9381"/>
        <n v="33016"/>
        <n v="2145"/>
        <n v="4630"/>
        <n v="7113"/>
        <n v="36501"/>
        <n v="26141"/>
        <n v="925"/>
        <n v="962"/>
        <n v="16036"/>
        <n v="2195"/>
        <n v="57483"/>
        <n v="1208"/>
        <n v="446"/>
        <n v="1562"/>
        <n v="1044"/>
        <n v="135"/>
        <n v="1329"/>
        <n v="23382"/>
        <n v="589"/>
        <n v="1584"/>
        <n v="532"/>
        <n v="1345"/>
        <n v="2153"/>
        <n v="30926"/>
        <n v="58089"/>
        <n v="902"/>
        <n v="360"/>
        <n v="1399"/>
        <n v="631"/>
        <n v="33496"/>
        <n v="351"/>
        <n v="8006"/>
        <n v="1466"/>
        <n v="235"/>
        <n v="923"/>
        <n v="1512"/>
        <n v="4237"/>
        <n v="266"/>
        <n v="76346"/>
        <n v="38591"/>
        <n v="601"/>
        <n v="2134"/>
        <n v="1149"/>
        <n v="1123"/>
        <n v="88955"/>
        <n v="1779"/>
        <n v="6029"/>
        <n v="105209"/>
        <n v="2624"/>
        <n v="96767"/>
        <n v="2148"/>
        <n v="6381"/>
        <n v="296"/>
        <n v="3345"/>
        <n v="61857"/>
        <n v="95023"/>
        <n v="1052"/>
        <n v="31904"/>
        <n v="1428"/>
        <n v="71515"/>
        <n v="1055"/>
        <n v="468"/>
        <n v="905"/>
        <n v="194"/>
        <n v="675"/>
        <n v="96857"/>
        <n v="1154"/>
        <n v="48128"/>
        <n v="918"/>
        <n v="112466"/>
        <n v="69475"/>
        <n v="2259"/>
        <n v="70638"/>
        <n v="7562"/>
        <n v="24779"/>
        <n v="1046"/>
        <n v="1460"/>
        <n v="9763"/>
        <n v="220"/>
        <n v="109430"/>
        <n v="434"/>
        <n v="43028"/>
        <n v="731"/>
        <n v="1255"/>
        <n v="2303"/>
        <n v="72179"/>
        <n v="16447"/>
        <n v="2245"/>
        <n v="795"/>
        <n v="1766"/>
        <n v="514"/>
        <n v="1569"/>
        <n v="1595"/>
        <n v="6359"/>
        <n v="720"/>
        <n v="1004"/>
        <n v="238"/>
        <n v="1855"/>
        <n v="1605"/>
        <n v="39264"/>
        <n v="1263"/>
        <n v="24119"/>
        <n v="72650"/>
        <n v="95260"/>
        <n v="46494"/>
        <n v="1467"/>
        <n v="861"/>
        <n v="1311"/>
        <n v="3121"/>
        <n v="8301"/>
        <n v="1482"/>
        <n v="1259"/>
        <n v="36156"/>
        <n v="74696"/>
        <n v="416"/>
        <n v="57511"/>
        <n v="30880"/>
        <n v="69976"/>
        <n v="1011"/>
        <n v="265"/>
        <n v="1486"/>
        <n v="395"/>
        <n v="1915"/>
        <n v="680"/>
        <n v="22764"/>
        <n v="648"/>
        <n v="53926"/>
        <n v="1453"/>
        <n v="2806"/>
        <n v="1031"/>
        <n v="56370"/>
        <n v="1003"/>
        <n v="1653"/>
        <n v="8089"/>
        <n v="996"/>
        <n v="1380"/>
        <n v="1800"/>
        <n v="112249"/>
        <n v="1778"/>
        <n v="1945"/>
        <n v="460"/>
        <n v="1680"/>
        <n v="1393"/>
        <n v="851"/>
        <n v="1042"/>
        <n v="2067"/>
        <n v="88682"/>
        <n v="1143"/>
        <n v="152"/>
        <n v="2429"/>
        <n v="38821"/>
        <n v="122019"/>
        <n v="252"/>
        <n v="1392"/>
        <n v="1722"/>
        <n v="1297"/>
        <n v="142"/>
        <n v="1127"/>
        <n v="218"/>
        <n v="160962"/>
        <n v="1555"/>
        <n v="2257"/>
        <n v="28855"/>
        <n v="30668"/>
        <n v="1623"/>
        <n v="143"/>
        <n v="729"/>
        <n v="1458"/>
        <n v="27298"/>
        <n v="753"/>
        <n v="1203"/>
        <n v="1022"/>
        <n v="970"/>
        <n v="1896"/>
        <n v="205"/>
        <n v="4916"/>
        <n v="69189"/>
        <n v="2133"/>
        <n v="904"/>
        <n v="62686"/>
        <n v="217"/>
        <n v="551"/>
        <n v="40266"/>
        <n v="1015"/>
        <n v="676"/>
        <n v="1230"/>
        <n v="350"/>
        <n v="1211"/>
        <n v="61284"/>
        <n v="756"/>
        <n v="339"/>
        <n v="4489"/>
        <n v="1107"/>
        <n v="908"/>
        <n v="1219"/>
        <n v="22502"/>
        <n v="929"/>
        <n v="96445"/>
        <n v="16038"/>
        <n v="78660"/>
        <n v="4058"/>
        <n v="40109"/>
        <n v="112061"/>
        <n v="74214"/>
        <n v="43086"/>
        <n v="4470"/>
        <n v="3416"/>
        <n v="733"/>
        <n v="64342"/>
        <n v="1180"/>
        <n v="89005"/>
        <n v="957"/>
        <n v="53133"/>
        <n v="7372"/>
        <n v="4459"/>
        <n v="710"/>
        <n v="110590"/>
        <n v="100152"/>
        <n v="3793"/>
        <n v="6436"/>
        <n v="1057"/>
        <n v="636"/>
        <n v="934"/>
        <n v="8024"/>
        <n v="1744"/>
        <n v="6629"/>
        <n v="83100"/>
        <n v="770"/>
        <n v="2078"/>
        <n v="1821"/>
        <n v="9984"/>
        <n v="538"/>
        <n v="1950"/>
        <n v="22457"/>
        <n v="791"/>
        <n v="60133"/>
        <n v="173"/>
        <n v="867"/>
        <n v="939"/>
        <n v="621"/>
        <n v="7883"/>
        <n v="329"/>
        <n v="198"/>
        <n v="375"/>
        <n v="5065"/>
        <n v="683"/>
        <n v="6784"/>
        <n v="1845"/>
        <n v="603"/>
        <n v="456"/>
        <n v="1177"/>
        <n v="15256"/>
        <n v="1795"/>
        <n v="1487"/>
        <n v="46347"/>
        <n v="54256"/>
        <n v="4547"/>
        <n v="1797"/>
        <n v="111745"/>
        <n v="51469"/>
        <n v="21474"/>
        <n v="388"/>
        <n v="84130"/>
        <n v="1033"/>
        <n v="39307"/>
        <n v="7498"/>
        <n v="585"/>
        <n v="80723"/>
        <n v="9706"/>
        <n v="1152"/>
        <n v="836"/>
        <n v="4350"/>
        <n v="1885"/>
        <n v="1600"/>
        <n v="209"/>
        <n v="33201"/>
        <n v="1350"/>
        <n v="1373"/>
        <n v="576"/>
        <n v="144"/>
        <n v="539"/>
        <n v="60717"/>
        <n v="44659"/>
        <n v="67213"/>
        <n v="1768"/>
        <n v="2805"/>
        <n v="1296"/>
        <n v="561"/>
        <n v="833"/>
        <n v="1869"/>
        <n v="2166"/>
        <n v="1313"/>
        <n v="22859"/>
        <n v="68195"/>
        <n v="7921"/>
        <n v="64050"/>
        <n v="128"/>
        <n v="1103"/>
        <n v="1521"/>
        <n v="1816"/>
        <n v="1128"/>
        <n v="385"/>
        <n v="36248"/>
        <n v="10293"/>
        <n v="48786"/>
        <n v="105149"/>
        <n v="2056"/>
        <n v="747"/>
        <n v="11895"/>
        <n v="466"/>
        <n v="440"/>
        <n v="546"/>
        <n v="6837"/>
        <n v="40832"/>
        <n v="371"/>
        <n v="102497"/>
        <n v="744"/>
        <n v="1072"/>
        <n v="2276"/>
        <n v="1575"/>
        <n v="11167"/>
        <n v="1249"/>
        <n v="85494"/>
        <n v="59712"/>
        <n v="41440"/>
        <n v="117884"/>
        <n v="75631"/>
        <n v="5550"/>
        <n v="1116"/>
        <n v="39884"/>
        <n v="67644"/>
        <n v="399"/>
        <n v="225"/>
        <n v="1791"/>
        <n v="721"/>
        <n v="919"/>
        <n v="80733"/>
        <n v="331"/>
        <n v="14636"/>
        <n v="967"/>
        <n v="104964"/>
        <n v="900"/>
        <n v="1092"/>
        <n v="98139"/>
        <n v="418"/>
        <n v="11108"/>
        <n v="986"/>
        <n v="1354"/>
        <n v="165"/>
        <n v="79363"/>
        <n v="1783"/>
        <n v="99"/>
        <n v="502"/>
        <n v="510"/>
        <n v="1574"/>
        <n v="3487"/>
        <n v="336"/>
        <n v="2014"/>
        <n v="5046"/>
        <n v="819"/>
        <n v="1325"/>
        <n v="27959"/>
        <n v="7374"/>
        <n v="31800"/>
        <n v="533"/>
        <n v="3318"/>
        <n v="757"/>
        <n v="7462"/>
        <n v="63741"/>
        <n v="8257"/>
        <n v="652"/>
        <n v="1673"/>
        <n v="66597"/>
        <n v="140"/>
        <n v="261"/>
        <n v="6052"/>
        <n v="29827"/>
        <n v="1503"/>
        <n v="2308"/>
        <n v="301"/>
        <n v="2124"/>
        <n v="1634"/>
        <n v="19233"/>
        <n v="97916"/>
        <n v="1141"/>
        <n v="251"/>
        <n v="7155"/>
        <n v="82656"/>
        <n v="23319"/>
        <n v="1251"/>
        <n v="76734"/>
        <n v="1666"/>
        <n v="2459"/>
        <n v="15474"/>
        <n v="1875"/>
        <n v="1413"/>
        <n v="1346"/>
        <n v="933"/>
        <n v="216"/>
        <n v="108750"/>
        <n v="1491"/>
        <n v="821"/>
        <n v="149242"/>
        <n v="1119"/>
        <n v="6419"/>
        <n v="875"/>
        <n v="67805"/>
        <n v="417"/>
        <n v="3155"/>
        <n v="508"/>
        <n v="1935"/>
        <n v="657"/>
        <n v="321"/>
        <n v="302"/>
        <n v="27872"/>
        <n v="199"/>
        <n v="1040"/>
        <n v="1190"/>
        <n v="20053"/>
        <n v="19358"/>
        <n v="769"/>
        <n v="1212"/>
        <n v="57806"/>
        <n v="1247"/>
        <n v="442"/>
        <n v="5187"/>
        <n v="6678"/>
        <n v="92729"/>
        <n v="106"/>
        <n v="6262"/>
        <n v="7790"/>
        <n v="762"/>
        <n v="1476"/>
        <n v="1385"/>
        <n v="458"/>
        <n v="69454"/>
        <n v="1659"/>
        <n v="2570"/>
        <n v="632"/>
        <n v="461"/>
        <n v="928"/>
        <n v="389"/>
        <n v="4945"/>
        <n v="233"/>
        <n v="1580"/>
        <n v="1696"/>
        <n v="2656"/>
        <n v="1440"/>
        <n v="2235"/>
        <n v="654"/>
        <n v="102342"/>
        <n v="1911"/>
        <n v="1905"/>
        <n v="146"/>
        <n v="162"/>
        <n v="820"/>
        <n v="481"/>
        <n v="2164"/>
        <n v="483"/>
        <n v="6872"/>
        <n v="2684"/>
        <n v="4985"/>
        <n v="401"/>
        <n v="1718"/>
        <n v="1451"/>
        <n v="1170"/>
        <n v="907"/>
        <n v="1685"/>
        <n v="1552"/>
        <n v="2013"/>
        <n v="1533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0"/>
    <x v="1"/>
    <x v="1"/>
    <x v="1"/>
    <x v="0"/>
    <x v="1"/>
    <x v="0"/>
    <x v="0"/>
    <x v="0"/>
    <x v="1"/>
    <x v="0"/>
    <x v="1"/>
    <x v="1"/>
    <x v="1"/>
  </r>
  <r>
    <x v="2"/>
    <x v="2"/>
    <x v="2"/>
    <x v="2"/>
    <x v="1"/>
    <x v="2"/>
    <x v="2"/>
    <x v="1"/>
    <x v="1"/>
    <x v="2"/>
    <x v="2"/>
    <x v="0"/>
    <x v="0"/>
    <x v="0"/>
    <x v="0"/>
    <x v="0"/>
    <x v="0"/>
    <x v="0"/>
    <x v="1"/>
    <x v="1"/>
    <x v="2"/>
  </r>
  <r>
    <x v="3"/>
    <x v="3"/>
    <x v="3"/>
    <x v="3"/>
    <x v="1"/>
    <x v="3"/>
    <x v="3"/>
    <x v="2"/>
    <x v="1"/>
    <x v="3"/>
    <x v="3"/>
    <x v="1"/>
    <x v="2"/>
    <x v="1"/>
    <x v="1"/>
    <x v="1"/>
    <x v="0"/>
    <x v="0"/>
    <x v="2"/>
    <x v="0"/>
    <x v="3"/>
  </r>
  <r>
    <x v="3"/>
    <x v="4"/>
    <x v="4"/>
    <x v="4"/>
    <x v="0"/>
    <x v="4"/>
    <x v="4"/>
    <x v="2"/>
    <x v="1"/>
    <x v="4"/>
    <x v="4"/>
    <x v="2"/>
    <x v="3"/>
    <x v="0"/>
    <x v="1"/>
    <x v="2"/>
    <x v="2"/>
    <x v="0"/>
    <x v="3"/>
    <x v="2"/>
    <x v="4"/>
  </r>
  <r>
    <x v="4"/>
    <x v="5"/>
    <x v="5"/>
    <x v="0"/>
    <x v="1"/>
    <x v="0"/>
    <x v="0"/>
    <x v="0"/>
    <x v="1"/>
    <x v="5"/>
    <x v="0"/>
    <x v="0"/>
    <x v="1"/>
    <x v="0"/>
    <x v="0"/>
    <x v="0"/>
    <x v="2"/>
    <x v="0"/>
    <x v="1"/>
    <x v="1"/>
    <x v="5"/>
  </r>
  <r>
    <x v="0"/>
    <x v="6"/>
    <x v="3"/>
    <x v="5"/>
    <x v="0"/>
    <x v="2"/>
    <x v="2"/>
    <x v="1"/>
    <x v="1"/>
    <x v="6"/>
    <x v="2"/>
    <x v="2"/>
    <x v="3"/>
    <x v="0"/>
    <x v="0"/>
    <x v="0"/>
    <x v="0"/>
    <x v="0"/>
    <x v="1"/>
    <x v="1"/>
    <x v="6"/>
  </r>
  <r>
    <x v="5"/>
    <x v="7"/>
    <x v="5"/>
    <x v="4"/>
    <x v="1"/>
    <x v="5"/>
    <x v="5"/>
    <x v="2"/>
    <x v="1"/>
    <x v="7"/>
    <x v="5"/>
    <x v="3"/>
    <x v="4"/>
    <x v="0"/>
    <x v="1"/>
    <x v="3"/>
    <x v="0"/>
    <x v="0"/>
    <x v="4"/>
    <x v="2"/>
    <x v="7"/>
  </r>
  <r>
    <x v="6"/>
    <x v="8"/>
    <x v="4"/>
    <x v="6"/>
    <x v="1"/>
    <x v="6"/>
    <x v="6"/>
    <x v="1"/>
    <x v="1"/>
    <x v="8"/>
    <x v="6"/>
    <x v="0"/>
    <x v="5"/>
    <x v="0"/>
    <x v="1"/>
    <x v="4"/>
    <x v="1"/>
    <x v="0"/>
    <x v="5"/>
    <x v="2"/>
    <x v="8"/>
  </r>
  <r>
    <x v="0"/>
    <x v="9"/>
    <x v="6"/>
    <x v="7"/>
    <x v="0"/>
    <x v="1"/>
    <x v="1"/>
    <x v="0"/>
    <x v="1"/>
    <x v="9"/>
    <x v="1"/>
    <x v="3"/>
    <x v="4"/>
    <x v="0"/>
    <x v="0"/>
    <x v="0"/>
    <x v="2"/>
    <x v="0"/>
    <x v="6"/>
    <x v="2"/>
    <x v="9"/>
  </r>
  <r>
    <x v="7"/>
    <x v="10"/>
    <x v="7"/>
    <x v="4"/>
    <x v="1"/>
    <x v="7"/>
    <x v="7"/>
    <x v="0"/>
    <x v="1"/>
    <x v="10"/>
    <x v="7"/>
    <x v="0"/>
    <x v="1"/>
    <x v="0"/>
    <x v="2"/>
    <x v="5"/>
    <x v="2"/>
    <x v="0"/>
    <x v="1"/>
    <x v="1"/>
    <x v="10"/>
  </r>
  <r>
    <x v="8"/>
    <x v="11"/>
    <x v="2"/>
    <x v="8"/>
    <x v="1"/>
    <x v="7"/>
    <x v="7"/>
    <x v="0"/>
    <x v="0"/>
    <x v="11"/>
    <x v="7"/>
    <x v="0"/>
    <x v="1"/>
    <x v="0"/>
    <x v="1"/>
    <x v="2"/>
    <x v="0"/>
    <x v="0"/>
    <x v="7"/>
    <x v="0"/>
    <x v="11"/>
  </r>
  <r>
    <x v="5"/>
    <x v="12"/>
    <x v="8"/>
    <x v="4"/>
    <x v="0"/>
    <x v="0"/>
    <x v="0"/>
    <x v="0"/>
    <x v="1"/>
    <x v="12"/>
    <x v="0"/>
    <x v="4"/>
    <x v="6"/>
    <x v="0"/>
    <x v="2"/>
    <x v="5"/>
    <x v="0"/>
    <x v="0"/>
    <x v="8"/>
    <x v="2"/>
    <x v="12"/>
  </r>
  <r>
    <x v="1"/>
    <x v="13"/>
    <x v="9"/>
    <x v="1"/>
    <x v="0"/>
    <x v="0"/>
    <x v="0"/>
    <x v="0"/>
    <x v="1"/>
    <x v="13"/>
    <x v="0"/>
    <x v="0"/>
    <x v="1"/>
    <x v="0"/>
    <x v="2"/>
    <x v="5"/>
    <x v="1"/>
    <x v="0"/>
    <x v="9"/>
    <x v="0"/>
    <x v="13"/>
  </r>
  <r>
    <x v="5"/>
    <x v="14"/>
    <x v="10"/>
    <x v="1"/>
    <x v="0"/>
    <x v="8"/>
    <x v="8"/>
    <x v="2"/>
    <x v="1"/>
    <x v="14"/>
    <x v="8"/>
    <x v="1"/>
    <x v="2"/>
    <x v="1"/>
    <x v="2"/>
    <x v="5"/>
    <x v="2"/>
    <x v="0"/>
    <x v="1"/>
    <x v="1"/>
    <x v="14"/>
  </r>
  <r>
    <x v="1"/>
    <x v="15"/>
    <x v="11"/>
    <x v="5"/>
    <x v="1"/>
    <x v="3"/>
    <x v="3"/>
    <x v="2"/>
    <x v="1"/>
    <x v="15"/>
    <x v="3"/>
    <x v="4"/>
    <x v="7"/>
    <x v="0"/>
    <x v="1"/>
    <x v="4"/>
    <x v="2"/>
    <x v="0"/>
    <x v="10"/>
    <x v="2"/>
    <x v="15"/>
  </r>
  <r>
    <x v="7"/>
    <x v="16"/>
    <x v="2"/>
    <x v="8"/>
    <x v="1"/>
    <x v="8"/>
    <x v="8"/>
    <x v="2"/>
    <x v="0"/>
    <x v="16"/>
    <x v="8"/>
    <x v="2"/>
    <x v="3"/>
    <x v="0"/>
    <x v="1"/>
    <x v="2"/>
    <x v="0"/>
    <x v="0"/>
    <x v="11"/>
    <x v="0"/>
    <x v="16"/>
  </r>
  <r>
    <x v="0"/>
    <x v="17"/>
    <x v="12"/>
    <x v="4"/>
    <x v="0"/>
    <x v="8"/>
    <x v="8"/>
    <x v="2"/>
    <x v="1"/>
    <x v="17"/>
    <x v="8"/>
    <x v="4"/>
    <x v="7"/>
    <x v="0"/>
    <x v="0"/>
    <x v="0"/>
    <x v="1"/>
    <x v="0"/>
    <x v="12"/>
    <x v="0"/>
    <x v="17"/>
  </r>
  <r>
    <x v="4"/>
    <x v="18"/>
    <x v="6"/>
    <x v="9"/>
    <x v="1"/>
    <x v="9"/>
    <x v="9"/>
    <x v="2"/>
    <x v="1"/>
    <x v="18"/>
    <x v="9"/>
    <x v="1"/>
    <x v="2"/>
    <x v="1"/>
    <x v="0"/>
    <x v="0"/>
    <x v="0"/>
    <x v="0"/>
    <x v="1"/>
    <x v="1"/>
    <x v="18"/>
  </r>
  <r>
    <x v="3"/>
    <x v="19"/>
    <x v="3"/>
    <x v="8"/>
    <x v="1"/>
    <x v="8"/>
    <x v="8"/>
    <x v="2"/>
    <x v="1"/>
    <x v="19"/>
    <x v="8"/>
    <x v="0"/>
    <x v="1"/>
    <x v="0"/>
    <x v="1"/>
    <x v="4"/>
    <x v="1"/>
    <x v="0"/>
    <x v="13"/>
    <x v="0"/>
    <x v="19"/>
  </r>
  <r>
    <x v="7"/>
    <x v="20"/>
    <x v="13"/>
    <x v="3"/>
    <x v="1"/>
    <x v="8"/>
    <x v="8"/>
    <x v="2"/>
    <x v="1"/>
    <x v="20"/>
    <x v="8"/>
    <x v="3"/>
    <x v="4"/>
    <x v="0"/>
    <x v="0"/>
    <x v="0"/>
    <x v="2"/>
    <x v="0"/>
    <x v="14"/>
    <x v="0"/>
    <x v="20"/>
  </r>
  <r>
    <x v="9"/>
    <x v="21"/>
    <x v="14"/>
    <x v="4"/>
    <x v="1"/>
    <x v="9"/>
    <x v="9"/>
    <x v="2"/>
    <x v="1"/>
    <x v="21"/>
    <x v="9"/>
    <x v="3"/>
    <x v="4"/>
    <x v="0"/>
    <x v="1"/>
    <x v="4"/>
    <x v="1"/>
    <x v="0"/>
    <x v="1"/>
    <x v="1"/>
    <x v="21"/>
  </r>
  <r>
    <x v="6"/>
    <x v="22"/>
    <x v="15"/>
    <x v="4"/>
    <x v="0"/>
    <x v="7"/>
    <x v="7"/>
    <x v="0"/>
    <x v="1"/>
    <x v="22"/>
    <x v="7"/>
    <x v="1"/>
    <x v="2"/>
    <x v="1"/>
    <x v="0"/>
    <x v="0"/>
    <x v="0"/>
    <x v="0"/>
    <x v="15"/>
    <x v="0"/>
    <x v="22"/>
  </r>
  <r>
    <x v="8"/>
    <x v="23"/>
    <x v="16"/>
    <x v="8"/>
    <x v="0"/>
    <x v="9"/>
    <x v="9"/>
    <x v="2"/>
    <x v="1"/>
    <x v="23"/>
    <x v="9"/>
    <x v="0"/>
    <x v="5"/>
    <x v="0"/>
    <x v="0"/>
    <x v="0"/>
    <x v="1"/>
    <x v="0"/>
    <x v="16"/>
    <x v="0"/>
    <x v="23"/>
  </r>
  <r>
    <x v="1"/>
    <x v="24"/>
    <x v="17"/>
    <x v="10"/>
    <x v="0"/>
    <x v="5"/>
    <x v="5"/>
    <x v="2"/>
    <x v="1"/>
    <x v="24"/>
    <x v="5"/>
    <x v="3"/>
    <x v="8"/>
    <x v="0"/>
    <x v="0"/>
    <x v="0"/>
    <x v="1"/>
    <x v="1"/>
    <x v="1"/>
    <x v="1"/>
    <x v="24"/>
  </r>
  <r>
    <x v="2"/>
    <x v="25"/>
    <x v="18"/>
    <x v="8"/>
    <x v="1"/>
    <x v="8"/>
    <x v="8"/>
    <x v="2"/>
    <x v="1"/>
    <x v="25"/>
    <x v="8"/>
    <x v="2"/>
    <x v="9"/>
    <x v="0"/>
    <x v="0"/>
    <x v="0"/>
    <x v="2"/>
    <x v="1"/>
    <x v="1"/>
    <x v="1"/>
    <x v="25"/>
  </r>
  <r>
    <x v="9"/>
    <x v="26"/>
    <x v="16"/>
    <x v="11"/>
    <x v="1"/>
    <x v="5"/>
    <x v="5"/>
    <x v="2"/>
    <x v="1"/>
    <x v="26"/>
    <x v="5"/>
    <x v="0"/>
    <x v="1"/>
    <x v="0"/>
    <x v="0"/>
    <x v="0"/>
    <x v="0"/>
    <x v="0"/>
    <x v="17"/>
    <x v="0"/>
    <x v="26"/>
  </r>
  <r>
    <x v="1"/>
    <x v="27"/>
    <x v="19"/>
    <x v="8"/>
    <x v="1"/>
    <x v="5"/>
    <x v="5"/>
    <x v="2"/>
    <x v="0"/>
    <x v="27"/>
    <x v="5"/>
    <x v="1"/>
    <x v="2"/>
    <x v="1"/>
    <x v="0"/>
    <x v="0"/>
    <x v="2"/>
    <x v="0"/>
    <x v="1"/>
    <x v="1"/>
    <x v="27"/>
  </r>
  <r>
    <x v="7"/>
    <x v="28"/>
    <x v="20"/>
    <x v="12"/>
    <x v="1"/>
    <x v="3"/>
    <x v="3"/>
    <x v="2"/>
    <x v="1"/>
    <x v="28"/>
    <x v="3"/>
    <x v="0"/>
    <x v="0"/>
    <x v="0"/>
    <x v="1"/>
    <x v="2"/>
    <x v="0"/>
    <x v="0"/>
    <x v="18"/>
    <x v="2"/>
    <x v="28"/>
  </r>
  <r>
    <x v="3"/>
    <x v="29"/>
    <x v="21"/>
    <x v="9"/>
    <x v="1"/>
    <x v="9"/>
    <x v="9"/>
    <x v="2"/>
    <x v="1"/>
    <x v="29"/>
    <x v="9"/>
    <x v="0"/>
    <x v="0"/>
    <x v="0"/>
    <x v="0"/>
    <x v="0"/>
    <x v="0"/>
    <x v="0"/>
    <x v="1"/>
    <x v="1"/>
    <x v="29"/>
  </r>
  <r>
    <x v="3"/>
    <x v="30"/>
    <x v="22"/>
    <x v="4"/>
    <x v="1"/>
    <x v="9"/>
    <x v="9"/>
    <x v="2"/>
    <x v="1"/>
    <x v="30"/>
    <x v="9"/>
    <x v="4"/>
    <x v="7"/>
    <x v="0"/>
    <x v="0"/>
    <x v="0"/>
    <x v="0"/>
    <x v="0"/>
    <x v="19"/>
    <x v="0"/>
    <x v="30"/>
  </r>
  <r>
    <x v="6"/>
    <x v="31"/>
    <x v="23"/>
    <x v="5"/>
    <x v="1"/>
    <x v="9"/>
    <x v="9"/>
    <x v="2"/>
    <x v="1"/>
    <x v="31"/>
    <x v="9"/>
    <x v="3"/>
    <x v="4"/>
    <x v="0"/>
    <x v="0"/>
    <x v="0"/>
    <x v="0"/>
    <x v="0"/>
    <x v="1"/>
    <x v="1"/>
    <x v="31"/>
  </r>
  <r>
    <x v="0"/>
    <x v="32"/>
    <x v="24"/>
    <x v="8"/>
    <x v="1"/>
    <x v="1"/>
    <x v="1"/>
    <x v="0"/>
    <x v="1"/>
    <x v="32"/>
    <x v="1"/>
    <x v="0"/>
    <x v="5"/>
    <x v="0"/>
    <x v="0"/>
    <x v="0"/>
    <x v="0"/>
    <x v="1"/>
    <x v="1"/>
    <x v="1"/>
    <x v="32"/>
  </r>
  <r>
    <x v="7"/>
    <x v="33"/>
    <x v="14"/>
    <x v="1"/>
    <x v="0"/>
    <x v="0"/>
    <x v="0"/>
    <x v="0"/>
    <x v="1"/>
    <x v="33"/>
    <x v="0"/>
    <x v="0"/>
    <x v="0"/>
    <x v="0"/>
    <x v="0"/>
    <x v="0"/>
    <x v="1"/>
    <x v="0"/>
    <x v="20"/>
    <x v="0"/>
    <x v="33"/>
  </r>
  <r>
    <x v="4"/>
    <x v="34"/>
    <x v="11"/>
    <x v="4"/>
    <x v="1"/>
    <x v="2"/>
    <x v="2"/>
    <x v="1"/>
    <x v="0"/>
    <x v="34"/>
    <x v="2"/>
    <x v="0"/>
    <x v="5"/>
    <x v="0"/>
    <x v="1"/>
    <x v="4"/>
    <x v="0"/>
    <x v="0"/>
    <x v="21"/>
    <x v="0"/>
    <x v="34"/>
  </r>
  <r>
    <x v="10"/>
    <x v="35"/>
    <x v="8"/>
    <x v="11"/>
    <x v="1"/>
    <x v="9"/>
    <x v="9"/>
    <x v="2"/>
    <x v="1"/>
    <x v="35"/>
    <x v="9"/>
    <x v="2"/>
    <x v="9"/>
    <x v="0"/>
    <x v="1"/>
    <x v="4"/>
    <x v="0"/>
    <x v="0"/>
    <x v="22"/>
    <x v="0"/>
    <x v="35"/>
  </r>
  <r>
    <x v="4"/>
    <x v="36"/>
    <x v="16"/>
    <x v="2"/>
    <x v="0"/>
    <x v="3"/>
    <x v="3"/>
    <x v="2"/>
    <x v="1"/>
    <x v="36"/>
    <x v="3"/>
    <x v="1"/>
    <x v="2"/>
    <x v="1"/>
    <x v="0"/>
    <x v="0"/>
    <x v="0"/>
    <x v="0"/>
    <x v="1"/>
    <x v="1"/>
    <x v="36"/>
  </r>
  <r>
    <x v="1"/>
    <x v="37"/>
    <x v="25"/>
    <x v="4"/>
    <x v="0"/>
    <x v="7"/>
    <x v="7"/>
    <x v="0"/>
    <x v="1"/>
    <x v="37"/>
    <x v="7"/>
    <x v="3"/>
    <x v="8"/>
    <x v="0"/>
    <x v="0"/>
    <x v="0"/>
    <x v="0"/>
    <x v="0"/>
    <x v="23"/>
    <x v="2"/>
    <x v="37"/>
  </r>
  <r>
    <x v="11"/>
    <x v="38"/>
    <x v="26"/>
    <x v="9"/>
    <x v="0"/>
    <x v="0"/>
    <x v="0"/>
    <x v="0"/>
    <x v="1"/>
    <x v="38"/>
    <x v="0"/>
    <x v="0"/>
    <x v="1"/>
    <x v="0"/>
    <x v="0"/>
    <x v="0"/>
    <x v="2"/>
    <x v="0"/>
    <x v="1"/>
    <x v="1"/>
    <x v="38"/>
  </r>
  <r>
    <x v="2"/>
    <x v="39"/>
    <x v="3"/>
    <x v="11"/>
    <x v="1"/>
    <x v="6"/>
    <x v="6"/>
    <x v="1"/>
    <x v="1"/>
    <x v="39"/>
    <x v="6"/>
    <x v="3"/>
    <x v="4"/>
    <x v="0"/>
    <x v="0"/>
    <x v="0"/>
    <x v="2"/>
    <x v="0"/>
    <x v="1"/>
    <x v="1"/>
    <x v="39"/>
  </r>
  <r>
    <x v="0"/>
    <x v="40"/>
    <x v="13"/>
    <x v="8"/>
    <x v="0"/>
    <x v="6"/>
    <x v="6"/>
    <x v="1"/>
    <x v="1"/>
    <x v="40"/>
    <x v="6"/>
    <x v="1"/>
    <x v="2"/>
    <x v="1"/>
    <x v="1"/>
    <x v="3"/>
    <x v="0"/>
    <x v="1"/>
    <x v="24"/>
    <x v="2"/>
    <x v="40"/>
  </r>
  <r>
    <x v="1"/>
    <x v="41"/>
    <x v="27"/>
    <x v="11"/>
    <x v="1"/>
    <x v="7"/>
    <x v="7"/>
    <x v="0"/>
    <x v="0"/>
    <x v="41"/>
    <x v="7"/>
    <x v="2"/>
    <x v="9"/>
    <x v="0"/>
    <x v="0"/>
    <x v="0"/>
    <x v="1"/>
    <x v="0"/>
    <x v="1"/>
    <x v="1"/>
    <x v="41"/>
  </r>
  <r>
    <x v="5"/>
    <x v="42"/>
    <x v="28"/>
    <x v="3"/>
    <x v="1"/>
    <x v="4"/>
    <x v="4"/>
    <x v="2"/>
    <x v="1"/>
    <x v="27"/>
    <x v="4"/>
    <x v="0"/>
    <x v="0"/>
    <x v="0"/>
    <x v="1"/>
    <x v="6"/>
    <x v="1"/>
    <x v="0"/>
    <x v="25"/>
    <x v="2"/>
    <x v="42"/>
  </r>
  <r>
    <x v="9"/>
    <x v="43"/>
    <x v="28"/>
    <x v="2"/>
    <x v="1"/>
    <x v="4"/>
    <x v="4"/>
    <x v="2"/>
    <x v="1"/>
    <x v="1"/>
    <x v="4"/>
    <x v="0"/>
    <x v="5"/>
    <x v="0"/>
    <x v="0"/>
    <x v="0"/>
    <x v="2"/>
    <x v="0"/>
    <x v="26"/>
    <x v="0"/>
    <x v="43"/>
  </r>
  <r>
    <x v="10"/>
    <x v="44"/>
    <x v="11"/>
    <x v="2"/>
    <x v="1"/>
    <x v="6"/>
    <x v="6"/>
    <x v="1"/>
    <x v="1"/>
    <x v="42"/>
    <x v="6"/>
    <x v="1"/>
    <x v="2"/>
    <x v="1"/>
    <x v="0"/>
    <x v="0"/>
    <x v="0"/>
    <x v="0"/>
    <x v="1"/>
    <x v="1"/>
    <x v="44"/>
  </r>
  <r>
    <x v="8"/>
    <x v="45"/>
    <x v="29"/>
    <x v="4"/>
    <x v="1"/>
    <x v="7"/>
    <x v="7"/>
    <x v="0"/>
    <x v="0"/>
    <x v="43"/>
    <x v="7"/>
    <x v="1"/>
    <x v="2"/>
    <x v="1"/>
    <x v="0"/>
    <x v="0"/>
    <x v="0"/>
    <x v="1"/>
    <x v="1"/>
    <x v="1"/>
    <x v="45"/>
  </r>
  <r>
    <x v="3"/>
    <x v="46"/>
    <x v="3"/>
    <x v="1"/>
    <x v="1"/>
    <x v="2"/>
    <x v="2"/>
    <x v="1"/>
    <x v="1"/>
    <x v="44"/>
    <x v="2"/>
    <x v="0"/>
    <x v="5"/>
    <x v="0"/>
    <x v="0"/>
    <x v="0"/>
    <x v="1"/>
    <x v="1"/>
    <x v="1"/>
    <x v="1"/>
    <x v="46"/>
  </r>
  <r>
    <x v="4"/>
    <x v="47"/>
    <x v="30"/>
    <x v="12"/>
    <x v="0"/>
    <x v="8"/>
    <x v="8"/>
    <x v="2"/>
    <x v="1"/>
    <x v="22"/>
    <x v="8"/>
    <x v="2"/>
    <x v="9"/>
    <x v="0"/>
    <x v="2"/>
    <x v="5"/>
    <x v="2"/>
    <x v="1"/>
    <x v="27"/>
    <x v="2"/>
    <x v="47"/>
  </r>
  <r>
    <x v="5"/>
    <x v="48"/>
    <x v="28"/>
    <x v="4"/>
    <x v="1"/>
    <x v="4"/>
    <x v="4"/>
    <x v="2"/>
    <x v="0"/>
    <x v="2"/>
    <x v="4"/>
    <x v="0"/>
    <x v="5"/>
    <x v="0"/>
    <x v="0"/>
    <x v="0"/>
    <x v="1"/>
    <x v="0"/>
    <x v="0"/>
    <x v="0"/>
    <x v="48"/>
  </r>
  <r>
    <x v="1"/>
    <x v="49"/>
    <x v="14"/>
    <x v="8"/>
    <x v="1"/>
    <x v="4"/>
    <x v="4"/>
    <x v="2"/>
    <x v="1"/>
    <x v="45"/>
    <x v="4"/>
    <x v="0"/>
    <x v="0"/>
    <x v="0"/>
    <x v="1"/>
    <x v="2"/>
    <x v="1"/>
    <x v="1"/>
    <x v="28"/>
    <x v="2"/>
    <x v="49"/>
  </r>
  <r>
    <x v="1"/>
    <x v="50"/>
    <x v="23"/>
    <x v="2"/>
    <x v="1"/>
    <x v="9"/>
    <x v="9"/>
    <x v="2"/>
    <x v="0"/>
    <x v="46"/>
    <x v="9"/>
    <x v="2"/>
    <x v="3"/>
    <x v="0"/>
    <x v="1"/>
    <x v="2"/>
    <x v="0"/>
    <x v="0"/>
    <x v="29"/>
    <x v="2"/>
    <x v="50"/>
  </r>
  <r>
    <x v="6"/>
    <x v="51"/>
    <x v="31"/>
    <x v="4"/>
    <x v="1"/>
    <x v="6"/>
    <x v="6"/>
    <x v="1"/>
    <x v="1"/>
    <x v="47"/>
    <x v="6"/>
    <x v="3"/>
    <x v="4"/>
    <x v="0"/>
    <x v="0"/>
    <x v="0"/>
    <x v="1"/>
    <x v="0"/>
    <x v="1"/>
    <x v="1"/>
    <x v="51"/>
  </r>
  <r>
    <x v="9"/>
    <x v="52"/>
    <x v="15"/>
    <x v="10"/>
    <x v="1"/>
    <x v="1"/>
    <x v="1"/>
    <x v="0"/>
    <x v="1"/>
    <x v="48"/>
    <x v="1"/>
    <x v="3"/>
    <x v="8"/>
    <x v="0"/>
    <x v="0"/>
    <x v="0"/>
    <x v="2"/>
    <x v="0"/>
    <x v="1"/>
    <x v="1"/>
    <x v="52"/>
  </r>
  <r>
    <x v="3"/>
    <x v="53"/>
    <x v="19"/>
    <x v="0"/>
    <x v="1"/>
    <x v="2"/>
    <x v="2"/>
    <x v="1"/>
    <x v="1"/>
    <x v="49"/>
    <x v="2"/>
    <x v="1"/>
    <x v="2"/>
    <x v="1"/>
    <x v="0"/>
    <x v="0"/>
    <x v="1"/>
    <x v="1"/>
    <x v="1"/>
    <x v="1"/>
    <x v="53"/>
  </r>
  <r>
    <x v="3"/>
    <x v="54"/>
    <x v="8"/>
    <x v="8"/>
    <x v="1"/>
    <x v="4"/>
    <x v="4"/>
    <x v="2"/>
    <x v="1"/>
    <x v="50"/>
    <x v="4"/>
    <x v="2"/>
    <x v="3"/>
    <x v="0"/>
    <x v="0"/>
    <x v="0"/>
    <x v="1"/>
    <x v="0"/>
    <x v="1"/>
    <x v="1"/>
    <x v="54"/>
  </r>
  <r>
    <x v="10"/>
    <x v="55"/>
    <x v="32"/>
    <x v="10"/>
    <x v="0"/>
    <x v="1"/>
    <x v="1"/>
    <x v="0"/>
    <x v="1"/>
    <x v="51"/>
    <x v="1"/>
    <x v="0"/>
    <x v="0"/>
    <x v="0"/>
    <x v="1"/>
    <x v="4"/>
    <x v="1"/>
    <x v="1"/>
    <x v="30"/>
    <x v="2"/>
    <x v="55"/>
  </r>
  <r>
    <x v="7"/>
    <x v="56"/>
    <x v="33"/>
    <x v="2"/>
    <x v="0"/>
    <x v="0"/>
    <x v="0"/>
    <x v="0"/>
    <x v="1"/>
    <x v="52"/>
    <x v="0"/>
    <x v="4"/>
    <x v="7"/>
    <x v="0"/>
    <x v="0"/>
    <x v="0"/>
    <x v="1"/>
    <x v="0"/>
    <x v="1"/>
    <x v="1"/>
    <x v="56"/>
  </r>
  <r>
    <x v="0"/>
    <x v="57"/>
    <x v="28"/>
    <x v="10"/>
    <x v="1"/>
    <x v="4"/>
    <x v="4"/>
    <x v="2"/>
    <x v="1"/>
    <x v="53"/>
    <x v="4"/>
    <x v="2"/>
    <x v="9"/>
    <x v="0"/>
    <x v="2"/>
    <x v="5"/>
    <x v="1"/>
    <x v="1"/>
    <x v="31"/>
    <x v="2"/>
    <x v="57"/>
  </r>
  <r>
    <x v="5"/>
    <x v="58"/>
    <x v="2"/>
    <x v="4"/>
    <x v="0"/>
    <x v="7"/>
    <x v="7"/>
    <x v="0"/>
    <x v="1"/>
    <x v="54"/>
    <x v="7"/>
    <x v="3"/>
    <x v="4"/>
    <x v="0"/>
    <x v="1"/>
    <x v="2"/>
    <x v="1"/>
    <x v="1"/>
    <x v="32"/>
    <x v="0"/>
    <x v="58"/>
  </r>
  <r>
    <x v="5"/>
    <x v="59"/>
    <x v="2"/>
    <x v="4"/>
    <x v="0"/>
    <x v="0"/>
    <x v="0"/>
    <x v="0"/>
    <x v="1"/>
    <x v="55"/>
    <x v="0"/>
    <x v="5"/>
    <x v="2"/>
    <x v="1"/>
    <x v="0"/>
    <x v="0"/>
    <x v="2"/>
    <x v="1"/>
    <x v="33"/>
    <x v="2"/>
    <x v="59"/>
  </r>
  <r>
    <x v="8"/>
    <x v="60"/>
    <x v="30"/>
    <x v="2"/>
    <x v="0"/>
    <x v="9"/>
    <x v="9"/>
    <x v="2"/>
    <x v="1"/>
    <x v="56"/>
    <x v="9"/>
    <x v="4"/>
    <x v="6"/>
    <x v="0"/>
    <x v="1"/>
    <x v="6"/>
    <x v="1"/>
    <x v="0"/>
    <x v="34"/>
    <x v="2"/>
    <x v="60"/>
  </r>
  <r>
    <x v="5"/>
    <x v="61"/>
    <x v="31"/>
    <x v="8"/>
    <x v="0"/>
    <x v="1"/>
    <x v="1"/>
    <x v="0"/>
    <x v="1"/>
    <x v="57"/>
    <x v="1"/>
    <x v="0"/>
    <x v="0"/>
    <x v="0"/>
    <x v="0"/>
    <x v="0"/>
    <x v="0"/>
    <x v="1"/>
    <x v="1"/>
    <x v="1"/>
    <x v="61"/>
  </r>
  <r>
    <x v="9"/>
    <x v="62"/>
    <x v="5"/>
    <x v="5"/>
    <x v="0"/>
    <x v="1"/>
    <x v="1"/>
    <x v="0"/>
    <x v="1"/>
    <x v="58"/>
    <x v="1"/>
    <x v="0"/>
    <x v="5"/>
    <x v="0"/>
    <x v="2"/>
    <x v="5"/>
    <x v="1"/>
    <x v="0"/>
    <x v="35"/>
    <x v="2"/>
    <x v="62"/>
  </r>
  <r>
    <x v="8"/>
    <x v="63"/>
    <x v="12"/>
    <x v="4"/>
    <x v="0"/>
    <x v="6"/>
    <x v="6"/>
    <x v="1"/>
    <x v="0"/>
    <x v="3"/>
    <x v="6"/>
    <x v="2"/>
    <x v="9"/>
    <x v="0"/>
    <x v="0"/>
    <x v="0"/>
    <x v="0"/>
    <x v="0"/>
    <x v="1"/>
    <x v="1"/>
    <x v="63"/>
  </r>
  <r>
    <x v="9"/>
    <x v="64"/>
    <x v="16"/>
    <x v="1"/>
    <x v="0"/>
    <x v="9"/>
    <x v="9"/>
    <x v="2"/>
    <x v="1"/>
    <x v="42"/>
    <x v="9"/>
    <x v="5"/>
    <x v="2"/>
    <x v="1"/>
    <x v="2"/>
    <x v="5"/>
    <x v="0"/>
    <x v="0"/>
    <x v="36"/>
    <x v="2"/>
    <x v="64"/>
  </r>
  <r>
    <x v="11"/>
    <x v="65"/>
    <x v="20"/>
    <x v="2"/>
    <x v="1"/>
    <x v="7"/>
    <x v="7"/>
    <x v="0"/>
    <x v="1"/>
    <x v="59"/>
    <x v="7"/>
    <x v="0"/>
    <x v="5"/>
    <x v="0"/>
    <x v="1"/>
    <x v="1"/>
    <x v="0"/>
    <x v="1"/>
    <x v="37"/>
    <x v="2"/>
    <x v="65"/>
  </r>
  <r>
    <x v="4"/>
    <x v="66"/>
    <x v="12"/>
    <x v="5"/>
    <x v="1"/>
    <x v="0"/>
    <x v="0"/>
    <x v="0"/>
    <x v="1"/>
    <x v="60"/>
    <x v="0"/>
    <x v="0"/>
    <x v="1"/>
    <x v="0"/>
    <x v="1"/>
    <x v="4"/>
    <x v="1"/>
    <x v="1"/>
    <x v="1"/>
    <x v="1"/>
    <x v="66"/>
  </r>
  <r>
    <x v="9"/>
    <x v="67"/>
    <x v="34"/>
    <x v="2"/>
    <x v="1"/>
    <x v="0"/>
    <x v="0"/>
    <x v="0"/>
    <x v="1"/>
    <x v="61"/>
    <x v="0"/>
    <x v="2"/>
    <x v="3"/>
    <x v="0"/>
    <x v="0"/>
    <x v="0"/>
    <x v="0"/>
    <x v="0"/>
    <x v="1"/>
    <x v="1"/>
    <x v="67"/>
  </r>
  <r>
    <x v="10"/>
    <x v="68"/>
    <x v="21"/>
    <x v="8"/>
    <x v="1"/>
    <x v="1"/>
    <x v="1"/>
    <x v="0"/>
    <x v="1"/>
    <x v="62"/>
    <x v="1"/>
    <x v="0"/>
    <x v="0"/>
    <x v="0"/>
    <x v="1"/>
    <x v="4"/>
    <x v="0"/>
    <x v="1"/>
    <x v="38"/>
    <x v="2"/>
    <x v="68"/>
  </r>
  <r>
    <x v="3"/>
    <x v="69"/>
    <x v="2"/>
    <x v="5"/>
    <x v="1"/>
    <x v="2"/>
    <x v="2"/>
    <x v="1"/>
    <x v="1"/>
    <x v="63"/>
    <x v="2"/>
    <x v="0"/>
    <x v="5"/>
    <x v="0"/>
    <x v="0"/>
    <x v="0"/>
    <x v="1"/>
    <x v="0"/>
    <x v="1"/>
    <x v="1"/>
    <x v="69"/>
  </r>
  <r>
    <x v="1"/>
    <x v="70"/>
    <x v="23"/>
    <x v="0"/>
    <x v="1"/>
    <x v="0"/>
    <x v="0"/>
    <x v="0"/>
    <x v="1"/>
    <x v="64"/>
    <x v="0"/>
    <x v="1"/>
    <x v="2"/>
    <x v="1"/>
    <x v="1"/>
    <x v="4"/>
    <x v="0"/>
    <x v="1"/>
    <x v="39"/>
    <x v="0"/>
    <x v="70"/>
  </r>
  <r>
    <x v="6"/>
    <x v="71"/>
    <x v="10"/>
    <x v="1"/>
    <x v="1"/>
    <x v="9"/>
    <x v="9"/>
    <x v="2"/>
    <x v="0"/>
    <x v="65"/>
    <x v="9"/>
    <x v="2"/>
    <x v="3"/>
    <x v="0"/>
    <x v="0"/>
    <x v="0"/>
    <x v="1"/>
    <x v="0"/>
    <x v="1"/>
    <x v="1"/>
    <x v="71"/>
  </r>
  <r>
    <x v="3"/>
    <x v="72"/>
    <x v="2"/>
    <x v="8"/>
    <x v="1"/>
    <x v="1"/>
    <x v="1"/>
    <x v="0"/>
    <x v="0"/>
    <x v="66"/>
    <x v="1"/>
    <x v="1"/>
    <x v="2"/>
    <x v="1"/>
    <x v="0"/>
    <x v="0"/>
    <x v="2"/>
    <x v="1"/>
    <x v="1"/>
    <x v="1"/>
    <x v="72"/>
  </r>
  <r>
    <x v="0"/>
    <x v="73"/>
    <x v="21"/>
    <x v="0"/>
    <x v="0"/>
    <x v="3"/>
    <x v="3"/>
    <x v="2"/>
    <x v="1"/>
    <x v="67"/>
    <x v="3"/>
    <x v="4"/>
    <x v="7"/>
    <x v="0"/>
    <x v="0"/>
    <x v="0"/>
    <x v="1"/>
    <x v="0"/>
    <x v="1"/>
    <x v="1"/>
    <x v="73"/>
  </r>
  <r>
    <x v="5"/>
    <x v="74"/>
    <x v="12"/>
    <x v="8"/>
    <x v="1"/>
    <x v="9"/>
    <x v="9"/>
    <x v="2"/>
    <x v="0"/>
    <x v="65"/>
    <x v="9"/>
    <x v="0"/>
    <x v="5"/>
    <x v="0"/>
    <x v="0"/>
    <x v="0"/>
    <x v="0"/>
    <x v="1"/>
    <x v="1"/>
    <x v="1"/>
    <x v="74"/>
  </r>
  <r>
    <x v="3"/>
    <x v="75"/>
    <x v="2"/>
    <x v="12"/>
    <x v="1"/>
    <x v="9"/>
    <x v="9"/>
    <x v="2"/>
    <x v="0"/>
    <x v="68"/>
    <x v="9"/>
    <x v="1"/>
    <x v="2"/>
    <x v="1"/>
    <x v="0"/>
    <x v="0"/>
    <x v="0"/>
    <x v="0"/>
    <x v="1"/>
    <x v="1"/>
    <x v="75"/>
  </r>
  <r>
    <x v="11"/>
    <x v="76"/>
    <x v="18"/>
    <x v="2"/>
    <x v="0"/>
    <x v="1"/>
    <x v="1"/>
    <x v="0"/>
    <x v="1"/>
    <x v="69"/>
    <x v="1"/>
    <x v="0"/>
    <x v="5"/>
    <x v="0"/>
    <x v="1"/>
    <x v="3"/>
    <x v="1"/>
    <x v="1"/>
    <x v="40"/>
    <x v="2"/>
    <x v="76"/>
  </r>
  <r>
    <x v="6"/>
    <x v="77"/>
    <x v="3"/>
    <x v="6"/>
    <x v="0"/>
    <x v="3"/>
    <x v="3"/>
    <x v="2"/>
    <x v="1"/>
    <x v="70"/>
    <x v="3"/>
    <x v="0"/>
    <x v="0"/>
    <x v="0"/>
    <x v="0"/>
    <x v="0"/>
    <x v="1"/>
    <x v="0"/>
    <x v="41"/>
    <x v="0"/>
    <x v="77"/>
  </r>
  <r>
    <x v="7"/>
    <x v="78"/>
    <x v="35"/>
    <x v="8"/>
    <x v="0"/>
    <x v="0"/>
    <x v="0"/>
    <x v="0"/>
    <x v="1"/>
    <x v="71"/>
    <x v="0"/>
    <x v="1"/>
    <x v="2"/>
    <x v="1"/>
    <x v="1"/>
    <x v="1"/>
    <x v="0"/>
    <x v="0"/>
    <x v="42"/>
    <x v="2"/>
    <x v="78"/>
  </r>
  <r>
    <x v="5"/>
    <x v="79"/>
    <x v="5"/>
    <x v="4"/>
    <x v="0"/>
    <x v="5"/>
    <x v="5"/>
    <x v="2"/>
    <x v="1"/>
    <x v="72"/>
    <x v="5"/>
    <x v="4"/>
    <x v="6"/>
    <x v="0"/>
    <x v="0"/>
    <x v="0"/>
    <x v="1"/>
    <x v="1"/>
    <x v="1"/>
    <x v="1"/>
    <x v="79"/>
  </r>
  <r>
    <x v="8"/>
    <x v="80"/>
    <x v="36"/>
    <x v="8"/>
    <x v="0"/>
    <x v="0"/>
    <x v="0"/>
    <x v="0"/>
    <x v="1"/>
    <x v="73"/>
    <x v="0"/>
    <x v="1"/>
    <x v="2"/>
    <x v="1"/>
    <x v="1"/>
    <x v="3"/>
    <x v="1"/>
    <x v="1"/>
    <x v="43"/>
    <x v="2"/>
    <x v="80"/>
  </r>
  <r>
    <x v="3"/>
    <x v="81"/>
    <x v="24"/>
    <x v="8"/>
    <x v="1"/>
    <x v="3"/>
    <x v="3"/>
    <x v="2"/>
    <x v="1"/>
    <x v="74"/>
    <x v="3"/>
    <x v="0"/>
    <x v="1"/>
    <x v="0"/>
    <x v="1"/>
    <x v="1"/>
    <x v="0"/>
    <x v="1"/>
    <x v="44"/>
    <x v="2"/>
    <x v="81"/>
  </r>
  <r>
    <x v="0"/>
    <x v="82"/>
    <x v="37"/>
    <x v="7"/>
    <x v="1"/>
    <x v="0"/>
    <x v="0"/>
    <x v="0"/>
    <x v="1"/>
    <x v="75"/>
    <x v="0"/>
    <x v="5"/>
    <x v="2"/>
    <x v="1"/>
    <x v="0"/>
    <x v="0"/>
    <x v="1"/>
    <x v="1"/>
    <x v="1"/>
    <x v="1"/>
    <x v="82"/>
  </r>
  <r>
    <x v="1"/>
    <x v="83"/>
    <x v="14"/>
    <x v="6"/>
    <x v="1"/>
    <x v="8"/>
    <x v="8"/>
    <x v="2"/>
    <x v="1"/>
    <x v="76"/>
    <x v="8"/>
    <x v="4"/>
    <x v="7"/>
    <x v="0"/>
    <x v="1"/>
    <x v="1"/>
    <x v="0"/>
    <x v="1"/>
    <x v="45"/>
    <x v="2"/>
    <x v="83"/>
  </r>
  <r>
    <x v="2"/>
    <x v="84"/>
    <x v="5"/>
    <x v="7"/>
    <x v="0"/>
    <x v="0"/>
    <x v="0"/>
    <x v="0"/>
    <x v="1"/>
    <x v="77"/>
    <x v="0"/>
    <x v="4"/>
    <x v="6"/>
    <x v="0"/>
    <x v="2"/>
    <x v="5"/>
    <x v="0"/>
    <x v="0"/>
    <x v="46"/>
    <x v="0"/>
    <x v="84"/>
  </r>
  <r>
    <x v="5"/>
    <x v="85"/>
    <x v="14"/>
    <x v="8"/>
    <x v="0"/>
    <x v="7"/>
    <x v="7"/>
    <x v="0"/>
    <x v="1"/>
    <x v="78"/>
    <x v="7"/>
    <x v="1"/>
    <x v="2"/>
    <x v="1"/>
    <x v="1"/>
    <x v="2"/>
    <x v="2"/>
    <x v="0"/>
    <x v="47"/>
    <x v="2"/>
    <x v="85"/>
  </r>
  <r>
    <x v="0"/>
    <x v="86"/>
    <x v="38"/>
    <x v="8"/>
    <x v="1"/>
    <x v="4"/>
    <x v="4"/>
    <x v="2"/>
    <x v="1"/>
    <x v="20"/>
    <x v="4"/>
    <x v="0"/>
    <x v="0"/>
    <x v="0"/>
    <x v="0"/>
    <x v="0"/>
    <x v="0"/>
    <x v="1"/>
    <x v="48"/>
    <x v="2"/>
    <x v="86"/>
  </r>
  <r>
    <x v="11"/>
    <x v="87"/>
    <x v="14"/>
    <x v="8"/>
    <x v="1"/>
    <x v="8"/>
    <x v="8"/>
    <x v="2"/>
    <x v="1"/>
    <x v="2"/>
    <x v="8"/>
    <x v="4"/>
    <x v="6"/>
    <x v="0"/>
    <x v="0"/>
    <x v="0"/>
    <x v="1"/>
    <x v="0"/>
    <x v="1"/>
    <x v="1"/>
    <x v="87"/>
  </r>
  <r>
    <x v="1"/>
    <x v="88"/>
    <x v="8"/>
    <x v="7"/>
    <x v="1"/>
    <x v="7"/>
    <x v="7"/>
    <x v="0"/>
    <x v="1"/>
    <x v="79"/>
    <x v="7"/>
    <x v="4"/>
    <x v="6"/>
    <x v="0"/>
    <x v="1"/>
    <x v="3"/>
    <x v="1"/>
    <x v="1"/>
    <x v="49"/>
    <x v="0"/>
    <x v="88"/>
  </r>
  <r>
    <x v="1"/>
    <x v="89"/>
    <x v="31"/>
    <x v="10"/>
    <x v="1"/>
    <x v="7"/>
    <x v="7"/>
    <x v="0"/>
    <x v="0"/>
    <x v="80"/>
    <x v="7"/>
    <x v="2"/>
    <x v="9"/>
    <x v="0"/>
    <x v="0"/>
    <x v="0"/>
    <x v="0"/>
    <x v="0"/>
    <x v="1"/>
    <x v="1"/>
    <x v="89"/>
  </r>
  <r>
    <x v="3"/>
    <x v="90"/>
    <x v="27"/>
    <x v="8"/>
    <x v="1"/>
    <x v="1"/>
    <x v="1"/>
    <x v="0"/>
    <x v="0"/>
    <x v="81"/>
    <x v="1"/>
    <x v="1"/>
    <x v="2"/>
    <x v="1"/>
    <x v="1"/>
    <x v="2"/>
    <x v="2"/>
    <x v="1"/>
    <x v="50"/>
    <x v="2"/>
    <x v="90"/>
  </r>
  <r>
    <x v="1"/>
    <x v="91"/>
    <x v="21"/>
    <x v="0"/>
    <x v="1"/>
    <x v="5"/>
    <x v="5"/>
    <x v="2"/>
    <x v="0"/>
    <x v="82"/>
    <x v="5"/>
    <x v="4"/>
    <x v="7"/>
    <x v="0"/>
    <x v="0"/>
    <x v="0"/>
    <x v="0"/>
    <x v="0"/>
    <x v="1"/>
    <x v="1"/>
    <x v="91"/>
  </r>
  <r>
    <x v="4"/>
    <x v="92"/>
    <x v="4"/>
    <x v="13"/>
    <x v="0"/>
    <x v="1"/>
    <x v="1"/>
    <x v="0"/>
    <x v="0"/>
    <x v="83"/>
    <x v="1"/>
    <x v="0"/>
    <x v="0"/>
    <x v="0"/>
    <x v="1"/>
    <x v="2"/>
    <x v="0"/>
    <x v="0"/>
    <x v="51"/>
    <x v="0"/>
    <x v="92"/>
  </r>
  <r>
    <x v="9"/>
    <x v="93"/>
    <x v="39"/>
    <x v="8"/>
    <x v="1"/>
    <x v="0"/>
    <x v="0"/>
    <x v="0"/>
    <x v="0"/>
    <x v="84"/>
    <x v="0"/>
    <x v="0"/>
    <x v="5"/>
    <x v="0"/>
    <x v="0"/>
    <x v="0"/>
    <x v="2"/>
    <x v="1"/>
    <x v="52"/>
    <x v="2"/>
    <x v="93"/>
  </r>
  <r>
    <x v="4"/>
    <x v="94"/>
    <x v="37"/>
    <x v="0"/>
    <x v="0"/>
    <x v="4"/>
    <x v="4"/>
    <x v="2"/>
    <x v="1"/>
    <x v="85"/>
    <x v="4"/>
    <x v="5"/>
    <x v="2"/>
    <x v="1"/>
    <x v="0"/>
    <x v="0"/>
    <x v="1"/>
    <x v="1"/>
    <x v="1"/>
    <x v="1"/>
    <x v="94"/>
  </r>
  <r>
    <x v="11"/>
    <x v="95"/>
    <x v="7"/>
    <x v="8"/>
    <x v="0"/>
    <x v="5"/>
    <x v="5"/>
    <x v="2"/>
    <x v="1"/>
    <x v="86"/>
    <x v="5"/>
    <x v="5"/>
    <x v="2"/>
    <x v="1"/>
    <x v="2"/>
    <x v="5"/>
    <x v="1"/>
    <x v="1"/>
    <x v="53"/>
    <x v="0"/>
    <x v="95"/>
  </r>
  <r>
    <x v="6"/>
    <x v="96"/>
    <x v="19"/>
    <x v="4"/>
    <x v="1"/>
    <x v="0"/>
    <x v="0"/>
    <x v="0"/>
    <x v="1"/>
    <x v="87"/>
    <x v="0"/>
    <x v="5"/>
    <x v="2"/>
    <x v="1"/>
    <x v="1"/>
    <x v="2"/>
    <x v="0"/>
    <x v="0"/>
    <x v="54"/>
    <x v="0"/>
    <x v="96"/>
  </r>
  <r>
    <x v="5"/>
    <x v="97"/>
    <x v="0"/>
    <x v="5"/>
    <x v="1"/>
    <x v="7"/>
    <x v="7"/>
    <x v="0"/>
    <x v="1"/>
    <x v="88"/>
    <x v="7"/>
    <x v="0"/>
    <x v="1"/>
    <x v="0"/>
    <x v="1"/>
    <x v="2"/>
    <x v="0"/>
    <x v="0"/>
    <x v="55"/>
    <x v="0"/>
    <x v="97"/>
  </r>
  <r>
    <x v="2"/>
    <x v="98"/>
    <x v="28"/>
    <x v="4"/>
    <x v="0"/>
    <x v="2"/>
    <x v="2"/>
    <x v="1"/>
    <x v="1"/>
    <x v="89"/>
    <x v="2"/>
    <x v="0"/>
    <x v="0"/>
    <x v="0"/>
    <x v="2"/>
    <x v="5"/>
    <x v="1"/>
    <x v="0"/>
    <x v="1"/>
    <x v="1"/>
    <x v="98"/>
  </r>
  <r>
    <x v="0"/>
    <x v="99"/>
    <x v="35"/>
    <x v="8"/>
    <x v="1"/>
    <x v="2"/>
    <x v="2"/>
    <x v="1"/>
    <x v="1"/>
    <x v="24"/>
    <x v="2"/>
    <x v="2"/>
    <x v="3"/>
    <x v="0"/>
    <x v="0"/>
    <x v="0"/>
    <x v="0"/>
    <x v="0"/>
    <x v="56"/>
    <x v="0"/>
    <x v="99"/>
  </r>
  <r>
    <x v="1"/>
    <x v="100"/>
    <x v="27"/>
    <x v="7"/>
    <x v="0"/>
    <x v="7"/>
    <x v="7"/>
    <x v="0"/>
    <x v="0"/>
    <x v="90"/>
    <x v="7"/>
    <x v="2"/>
    <x v="3"/>
    <x v="0"/>
    <x v="0"/>
    <x v="0"/>
    <x v="0"/>
    <x v="0"/>
    <x v="1"/>
    <x v="1"/>
    <x v="100"/>
  </r>
  <r>
    <x v="6"/>
    <x v="101"/>
    <x v="14"/>
    <x v="4"/>
    <x v="1"/>
    <x v="1"/>
    <x v="1"/>
    <x v="0"/>
    <x v="1"/>
    <x v="5"/>
    <x v="1"/>
    <x v="0"/>
    <x v="0"/>
    <x v="0"/>
    <x v="0"/>
    <x v="0"/>
    <x v="1"/>
    <x v="0"/>
    <x v="1"/>
    <x v="1"/>
    <x v="101"/>
  </r>
  <r>
    <x v="1"/>
    <x v="102"/>
    <x v="23"/>
    <x v="11"/>
    <x v="0"/>
    <x v="7"/>
    <x v="7"/>
    <x v="0"/>
    <x v="0"/>
    <x v="91"/>
    <x v="7"/>
    <x v="4"/>
    <x v="6"/>
    <x v="0"/>
    <x v="0"/>
    <x v="0"/>
    <x v="0"/>
    <x v="0"/>
    <x v="1"/>
    <x v="1"/>
    <x v="102"/>
  </r>
  <r>
    <x v="10"/>
    <x v="103"/>
    <x v="5"/>
    <x v="2"/>
    <x v="0"/>
    <x v="1"/>
    <x v="1"/>
    <x v="0"/>
    <x v="1"/>
    <x v="92"/>
    <x v="1"/>
    <x v="0"/>
    <x v="5"/>
    <x v="0"/>
    <x v="0"/>
    <x v="0"/>
    <x v="0"/>
    <x v="0"/>
    <x v="1"/>
    <x v="1"/>
    <x v="103"/>
  </r>
  <r>
    <x v="1"/>
    <x v="104"/>
    <x v="0"/>
    <x v="9"/>
    <x v="1"/>
    <x v="0"/>
    <x v="0"/>
    <x v="0"/>
    <x v="1"/>
    <x v="93"/>
    <x v="0"/>
    <x v="3"/>
    <x v="8"/>
    <x v="0"/>
    <x v="2"/>
    <x v="5"/>
    <x v="0"/>
    <x v="1"/>
    <x v="57"/>
    <x v="0"/>
    <x v="104"/>
  </r>
  <r>
    <x v="1"/>
    <x v="105"/>
    <x v="13"/>
    <x v="7"/>
    <x v="1"/>
    <x v="8"/>
    <x v="8"/>
    <x v="2"/>
    <x v="1"/>
    <x v="94"/>
    <x v="8"/>
    <x v="0"/>
    <x v="0"/>
    <x v="0"/>
    <x v="0"/>
    <x v="0"/>
    <x v="1"/>
    <x v="0"/>
    <x v="1"/>
    <x v="1"/>
    <x v="105"/>
  </r>
  <r>
    <x v="1"/>
    <x v="106"/>
    <x v="28"/>
    <x v="7"/>
    <x v="0"/>
    <x v="9"/>
    <x v="9"/>
    <x v="2"/>
    <x v="1"/>
    <x v="95"/>
    <x v="9"/>
    <x v="0"/>
    <x v="1"/>
    <x v="0"/>
    <x v="0"/>
    <x v="0"/>
    <x v="1"/>
    <x v="1"/>
    <x v="1"/>
    <x v="1"/>
    <x v="106"/>
  </r>
  <r>
    <x v="2"/>
    <x v="107"/>
    <x v="40"/>
    <x v="2"/>
    <x v="1"/>
    <x v="8"/>
    <x v="8"/>
    <x v="2"/>
    <x v="1"/>
    <x v="66"/>
    <x v="8"/>
    <x v="0"/>
    <x v="1"/>
    <x v="0"/>
    <x v="0"/>
    <x v="0"/>
    <x v="2"/>
    <x v="1"/>
    <x v="58"/>
    <x v="2"/>
    <x v="107"/>
  </r>
  <r>
    <x v="3"/>
    <x v="108"/>
    <x v="13"/>
    <x v="8"/>
    <x v="1"/>
    <x v="1"/>
    <x v="1"/>
    <x v="0"/>
    <x v="1"/>
    <x v="26"/>
    <x v="1"/>
    <x v="1"/>
    <x v="2"/>
    <x v="1"/>
    <x v="0"/>
    <x v="0"/>
    <x v="0"/>
    <x v="0"/>
    <x v="59"/>
    <x v="2"/>
    <x v="108"/>
  </r>
  <r>
    <x v="5"/>
    <x v="109"/>
    <x v="13"/>
    <x v="6"/>
    <x v="1"/>
    <x v="7"/>
    <x v="7"/>
    <x v="0"/>
    <x v="0"/>
    <x v="96"/>
    <x v="7"/>
    <x v="2"/>
    <x v="3"/>
    <x v="0"/>
    <x v="0"/>
    <x v="0"/>
    <x v="0"/>
    <x v="1"/>
    <x v="1"/>
    <x v="1"/>
    <x v="109"/>
  </r>
  <r>
    <x v="11"/>
    <x v="110"/>
    <x v="13"/>
    <x v="5"/>
    <x v="1"/>
    <x v="5"/>
    <x v="5"/>
    <x v="2"/>
    <x v="1"/>
    <x v="97"/>
    <x v="5"/>
    <x v="5"/>
    <x v="2"/>
    <x v="1"/>
    <x v="1"/>
    <x v="4"/>
    <x v="1"/>
    <x v="1"/>
    <x v="60"/>
    <x v="2"/>
    <x v="110"/>
  </r>
  <r>
    <x v="1"/>
    <x v="111"/>
    <x v="14"/>
    <x v="12"/>
    <x v="0"/>
    <x v="3"/>
    <x v="3"/>
    <x v="2"/>
    <x v="1"/>
    <x v="98"/>
    <x v="3"/>
    <x v="3"/>
    <x v="8"/>
    <x v="0"/>
    <x v="0"/>
    <x v="0"/>
    <x v="1"/>
    <x v="1"/>
    <x v="61"/>
    <x v="0"/>
    <x v="111"/>
  </r>
  <r>
    <x v="7"/>
    <x v="112"/>
    <x v="27"/>
    <x v="6"/>
    <x v="0"/>
    <x v="6"/>
    <x v="6"/>
    <x v="1"/>
    <x v="1"/>
    <x v="21"/>
    <x v="6"/>
    <x v="3"/>
    <x v="4"/>
    <x v="0"/>
    <x v="1"/>
    <x v="2"/>
    <x v="1"/>
    <x v="0"/>
    <x v="62"/>
    <x v="2"/>
    <x v="112"/>
  </r>
  <r>
    <x v="3"/>
    <x v="113"/>
    <x v="27"/>
    <x v="9"/>
    <x v="1"/>
    <x v="1"/>
    <x v="1"/>
    <x v="0"/>
    <x v="1"/>
    <x v="99"/>
    <x v="1"/>
    <x v="0"/>
    <x v="5"/>
    <x v="0"/>
    <x v="1"/>
    <x v="4"/>
    <x v="2"/>
    <x v="0"/>
    <x v="63"/>
    <x v="2"/>
    <x v="113"/>
  </r>
  <r>
    <x v="7"/>
    <x v="114"/>
    <x v="32"/>
    <x v="4"/>
    <x v="0"/>
    <x v="4"/>
    <x v="4"/>
    <x v="2"/>
    <x v="1"/>
    <x v="100"/>
    <x v="4"/>
    <x v="4"/>
    <x v="6"/>
    <x v="0"/>
    <x v="1"/>
    <x v="1"/>
    <x v="1"/>
    <x v="1"/>
    <x v="64"/>
    <x v="0"/>
    <x v="114"/>
  </r>
  <r>
    <x v="7"/>
    <x v="115"/>
    <x v="39"/>
    <x v="2"/>
    <x v="1"/>
    <x v="6"/>
    <x v="6"/>
    <x v="1"/>
    <x v="1"/>
    <x v="101"/>
    <x v="6"/>
    <x v="0"/>
    <x v="0"/>
    <x v="0"/>
    <x v="1"/>
    <x v="2"/>
    <x v="1"/>
    <x v="1"/>
    <x v="65"/>
    <x v="2"/>
    <x v="115"/>
  </r>
  <r>
    <x v="10"/>
    <x v="116"/>
    <x v="19"/>
    <x v="8"/>
    <x v="1"/>
    <x v="8"/>
    <x v="8"/>
    <x v="2"/>
    <x v="1"/>
    <x v="102"/>
    <x v="8"/>
    <x v="2"/>
    <x v="3"/>
    <x v="0"/>
    <x v="0"/>
    <x v="0"/>
    <x v="2"/>
    <x v="0"/>
    <x v="1"/>
    <x v="1"/>
    <x v="116"/>
  </r>
  <r>
    <x v="0"/>
    <x v="117"/>
    <x v="22"/>
    <x v="4"/>
    <x v="1"/>
    <x v="3"/>
    <x v="3"/>
    <x v="2"/>
    <x v="1"/>
    <x v="38"/>
    <x v="3"/>
    <x v="2"/>
    <x v="9"/>
    <x v="0"/>
    <x v="0"/>
    <x v="0"/>
    <x v="0"/>
    <x v="0"/>
    <x v="1"/>
    <x v="1"/>
    <x v="117"/>
  </r>
  <r>
    <x v="6"/>
    <x v="118"/>
    <x v="41"/>
    <x v="4"/>
    <x v="0"/>
    <x v="3"/>
    <x v="3"/>
    <x v="2"/>
    <x v="1"/>
    <x v="103"/>
    <x v="3"/>
    <x v="1"/>
    <x v="2"/>
    <x v="1"/>
    <x v="0"/>
    <x v="0"/>
    <x v="2"/>
    <x v="1"/>
    <x v="1"/>
    <x v="1"/>
    <x v="118"/>
  </r>
  <r>
    <x v="0"/>
    <x v="119"/>
    <x v="42"/>
    <x v="8"/>
    <x v="1"/>
    <x v="5"/>
    <x v="5"/>
    <x v="2"/>
    <x v="1"/>
    <x v="1"/>
    <x v="5"/>
    <x v="0"/>
    <x v="0"/>
    <x v="0"/>
    <x v="2"/>
    <x v="5"/>
    <x v="1"/>
    <x v="0"/>
    <x v="66"/>
    <x v="2"/>
    <x v="119"/>
  </r>
  <r>
    <x v="3"/>
    <x v="120"/>
    <x v="28"/>
    <x v="8"/>
    <x v="1"/>
    <x v="3"/>
    <x v="3"/>
    <x v="2"/>
    <x v="1"/>
    <x v="26"/>
    <x v="3"/>
    <x v="3"/>
    <x v="8"/>
    <x v="0"/>
    <x v="1"/>
    <x v="1"/>
    <x v="1"/>
    <x v="0"/>
    <x v="67"/>
    <x v="0"/>
    <x v="120"/>
  </r>
  <r>
    <x v="5"/>
    <x v="121"/>
    <x v="19"/>
    <x v="4"/>
    <x v="1"/>
    <x v="2"/>
    <x v="2"/>
    <x v="1"/>
    <x v="1"/>
    <x v="104"/>
    <x v="2"/>
    <x v="0"/>
    <x v="5"/>
    <x v="0"/>
    <x v="0"/>
    <x v="0"/>
    <x v="2"/>
    <x v="1"/>
    <x v="68"/>
    <x v="0"/>
    <x v="121"/>
  </r>
  <r>
    <x v="2"/>
    <x v="122"/>
    <x v="16"/>
    <x v="8"/>
    <x v="0"/>
    <x v="8"/>
    <x v="8"/>
    <x v="2"/>
    <x v="1"/>
    <x v="105"/>
    <x v="8"/>
    <x v="0"/>
    <x v="5"/>
    <x v="0"/>
    <x v="0"/>
    <x v="0"/>
    <x v="1"/>
    <x v="0"/>
    <x v="1"/>
    <x v="1"/>
    <x v="122"/>
  </r>
  <r>
    <x v="3"/>
    <x v="123"/>
    <x v="16"/>
    <x v="6"/>
    <x v="1"/>
    <x v="5"/>
    <x v="5"/>
    <x v="2"/>
    <x v="1"/>
    <x v="31"/>
    <x v="5"/>
    <x v="4"/>
    <x v="6"/>
    <x v="0"/>
    <x v="1"/>
    <x v="2"/>
    <x v="1"/>
    <x v="0"/>
    <x v="69"/>
    <x v="2"/>
    <x v="123"/>
  </r>
  <r>
    <x v="4"/>
    <x v="124"/>
    <x v="28"/>
    <x v="8"/>
    <x v="1"/>
    <x v="9"/>
    <x v="9"/>
    <x v="2"/>
    <x v="1"/>
    <x v="106"/>
    <x v="9"/>
    <x v="3"/>
    <x v="8"/>
    <x v="0"/>
    <x v="1"/>
    <x v="1"/>
    <x v="0"/>
    <x v="0"/>
    <x v="70"/>
    <x v="2"/>
    <x v="124"/>
  </r>
  <r>
    <x v="7"/>
    <x v="125"/>
    <x v="35"/>
    <x v="8"/>
    <x v="0"/>
    <x v="7"/>
    <x v="7"/>
    <x v="0"/>
    <x v="1"/>
    <x v="107"/>
    <x v="7"/>
    <x v="4"/>
    <x v="7"/>
    <x v="0"/>
    <x v="0"/>
    <x v="0"/>
    <x v="1"/>
    <x v="0"/>
    <x v="1"/>
    <x v="1"/>
    <x v="125"/>
  </r>
  <r>
    <x v="10"/>
    <x v="126"/>
    <x v="21"/>
    <x v="8"/>
    <x v="1"/>
    <x v="9"/>
    <x v="9"/>
    <x v="2"/>
    <x v="1"/>
    <x v="108"/>
    <x v="9"/>
    <x v="0"/>
    <x v="5"/>
    <x v="0"/>
    <x v="1"/>
    <x v="4"/>
    <x v="1"/>
    <x v="0"/>
    <x v="71"/>
    <x v="2"/>
    <x v="126"/>
  </r>
  <r>
    <x v="1"/>
    <x v="127"/>
    <x v="43"/>
    <x v="8"/>
    <x v="1"/>
    <x v="7"/>
    <x v="7"/>
    <x v="0"/>
    <x v="1"/>
    <x v="109"/>
    <x v="7"/>
    <x v="5"/>
    <x v="2"/>
    <x v="1"/>
    <x v="1"/>
    <x v="3"/>
    <x v="0"/>
    <x v="0"/>
    <x v="72"/>
    <x v="2"/>
    <x v="127"/>
  </r>
  <r>
    <x v="7"/>
    <x v="128"/>
    <x v="1"/>
    <x v="4"/>
    <x v="1"/>
    <x v="4"/>
    <x v="4"/>
    <x v="2"/>
    <x v="1"/>
    <x v="110"/>
    <x v="4"/>
    <x v="5"/>
    <x v="2"/>
    <x v="1"/>
    <x v="1"/>
    <x v="2"/>
    <x v="1"/>
    <x v="0"/>
    <x v="73"/>
    <x v="0"/>
    <x v="128"/>
  </r>
  <r>
    <x v="2"/>
    <x v="129"/>
    <x v="21"/>
    <x v="4"/>
    <x v="1"/>
    <x v="4"/>
    <x v="4"/>
    <x v="2"/>
    <x v="0"/>
    <x v="43"/>
    <x v="4"/>
    <x v="3"/>
    <x v="8"/>
    <x v="0"/>
    <x v="0"/>
    <x v="0"/>
    <x v="1"/>
    <x v="0"/>
    <x v="1"/>
    <x v="1"/>
    <x v="129"/>
  </r>
  <r>
    <x v="7"/>
    <x v="130"/>
    <x v="12"/>
    <x v="8"/>
    <x v="1"/>
    <x v="0"/>
    <x v="0"/>
    <x v="0"/>
    <x v="1"/>
    <x v="111"/>
    <x v="0"/>
    <x v="1"/>
    <x v="2"/>
    <x v="1"/>
    <x v="0"/>
    <x v="0"/>
    <x v="1"/>
    <x v="0"/>
    <x v="1"/>
    <x v="1"/>
    <x v="130"/>
  </r>
  <r>
    <x v="7"/>
    <x v="131"/>
    <x v="29"/>
    <x v="7"/>
    <x v="0"/>
    <x v="6"/>
    <x v="6"/>
    <x v="1"/>
    <x v="0"/>
    <x v="112"/>
    <x v="6"/>
    <x v="0"/>
    <x v="1"/>
    <x v="0"/>
    <x v="2"/>
    <x v="5"/>
    <x v="0"/>
    <x v="0"/>
    <x v="74"/>
    <x v="0"/>
    <x v="131"/>
  </r>
  <r>
    <x v="0"/>
    <x v="132"/>
    <x v="44"/>
    <x v="2"/>
    <x v="0"/>
    <x v="5"/>
    <x v="5"/>
    <x v="2"/>
    <x v="1"/>
    <x v="74"/>
    <x v="5"/>
    <x v="2"/>
    <x v="3"/>
    <x v="0"/>
    <x v="0"/>
    <x v="0"/>
    <x v="1"/>
    <x v="0"/>
    <x v="1"/>
    <x v="1"/>
    <x v="51"/>
  </r>
  <r>
    <x v="7"/>
    <x v="133"/>
    <x v="2"/>
    <x v="2"/>
    <x v="0"/>
    <x v="9"/>
    <x v="9"/>
    <x v="2"/>
    <x v="1"/>
    <x v="48"/>
    <x v="9"/>
    <x v="1"/>
    <x v="2"/>
    <x v="1"/>
    <x v="0"/>
    <x v="0"/>
    <x v="0"/>
    <x v="1"/>
    <x v="1"/>
    <x v="1"/>
    <x v="132"/>
  </r>
  <r>
    <x v="1"/>
    <x v="134"/>
    <x v="32"/>
    <x v="5"/>
    <x v="0"/>
    <x v="6"/>
    <x v="6"/>
    <x v="1"/>
    <x v="1"/>
    <x v="113"/>
    <x v="6"/>
    <x v="2"/>
    <x v="9"/>
    <x v="0"/>
    <x v="0"/>
    <x v="0"/>
    <x v="0"/>
    <x v="1"/>
    <x v="1"/>
    <x v="1"/>
    <x v="133"/>
  </r>
  <r>
    <x v="11"/>
    <x v="135"/>
    <x v="43"/>
    <x v="12"/>
    <x v="1"/>
    <x v="7"/>
    <x v="7"/>
    <x v="0"/>
    <x v="1"/>
    <x v="101"/>
    <x v="7"/>
    <x v="2"/>
    <x v="9"/>
    <x v="0"/>
    <x v="0"/>
    <x v="0"/>
    <x v="1"/>
    <x v="0"/>
    <x v="1"/>
    <x v="1"/>
    <x v="134"/>
  </r>
  <r>
    <x v="2"/>
    <x v="136"/>
    <x v="22"/>
    <x v="8"/>
    <x v="1"/>
    <x v="7"/>
    <x v="7"/>
    <x v="0"/>
    <x v="0"/>
    <x v="114"/>
    <x v="7"/>
    <x v="3"/>
    <x v="8"/>
    <x v="0"/>
    <x v="1"/>
    <x v="4"/>
    <x v="0"/>
    <x v="0"/>
    <x v="75"/>
    <x v="2"/>
    <x v="135"/>
  </r>
  <r>
    <x v="10"/>
    <x v="137"/>
    <x v="45"/>
    <x v="11"/>
    <x v="0"/>
    <x v="8"/>
    <x v="8"/>
    <x v="2"/>
    <x v="1"/>
    <x v="115"/>
    <x v="8"/>
    <x v="2"/>
    <x v="3"/>
    <x v="0"/>
    <x v="0"/>
    <x v="0"/>
    <x v="0"/>
    <x v="1"/>
    <x v="1"/>
    <x v="1"/>
    <x v="136"/>
  </r>
  <r>
    <x v="9"/>
    <x v="138"/>
    <x v="22"/>
    <x v="11"/>
    <x v="1"/>
    <x v="3"/>
    <x v="3"/>
    <x v="2"/>
    <x v="1"/>
    <x v="116"/>
    <x v="3"/>
    <x v="4"/>
    <x v="6"/>
    <x v="0"/>
    <x v="1"/>
    <x v="4"/>
    <x v="1"/>
    <x v="0"/>
    <x v="76"/>
    <x v="2"/>
    <x v="137"/>
  </r>
  <r>
    <x v="3"/>
    <x v="139"/>
    <x v="2"/>
    <x v="0"/>
    <x v="0"/>
    <x v="8"/>
    <x v="8"/>
    <x v="2"/>
    <x v="1"/>
    <x v="117"/>
    <x v="8"/>
    <x v="0"/>
    <x v="1"/>
    <x v="0"/>
    <x v="0"/>
    <x v="0"/>
    <x v="0"/>
    <x v="1"/>
    <x v="1"/>
    <x v="1"/>
    <x v="138"/>
  </r>
  <r>
    <x v="8"/>
    <x v="140"/>
    <x v="12"/>
    <x v="0"/>
    <x v="0"/>
    <x v="1"/>
    <x v="1"/>
    <x v="0"/>
    <x v="1"/>
    <x v="22"/>
    <x v="1"/>
    <x v="0"/>
    <x v="0"/>
    <x v="0"/>
    <x v="0"/>
    <x v="0"/>
    <x v="2"/>
    <x v="1"/>
    <x v="77"/>
    <x v="2"/>
    <x v="139"/>
  </r>
  <r>
    <x v="6"/>
    <x v="141"/>
    <x v="0"/>
    <x v="1"/>
    <x v="1"/>
    <x v="1"/>
    <x v="1"/>
    <x v="0"/>
    <x v="1"/>
    <x v="48"/>
    <x v="1"/>
    <x v="2"/>
    <x v="3"/>
    <x v="0"/>
    <x v="0"/>
    <x v="0"/>
    <x v="2"/>
    <x v="0"/>
    <x v="1"/>
    <x v="1"/>
    <x v="140"/>
  </r>
  <r>
    <x v="11"/>
    <x v="142"/>
    <x v="15"/>
    <x v="11"/>
    <x v="1"/>
    <x v="9"/>
    <x v="9"/>
    <x v="2"/>
    <x v="0"/>
    <x v="50"/>
    <x v="9"/>
    <x v="4"/>
    <x v="6"/>
    <x v="0"/>
    <x v="1"/>
    <x v="4"/>
    <x v="1"/>
    <x v="1"/>
    <x v="78"/>
    <x v="0"/>
    <x v="141"/>
  </r>
  <r>
    <x v="9"/>
    <x v="143"/>
    <x v="46"/>
    <x v="11"/>
    <x v="1"/>
    <x v="3"/>
    <x v="3"/>
    <x v="2"/>
    <x v="1"/>
    <x v="118"/>
    <x v="3"/>
    <x v="3"/>
    <x v="4"/>
    <x v="0"/>
    <x v="0"/>
    <x v="0"/>
    <x v="2"/>
    <x v="0"/>
    <x v="1"/>
    <x v="1"/>
    <x v="142"/>
  </r>
  <r>
    <x v="8"/>
    <x v="144"/>
    <x v="47"/>
    <x v="8"/>
    <x v="1"/>
    <x v="4"/>
    <x v="4"/>
    <x v="2"/>
    <x v="0"/>
    <x v="97"/>
    <x v="4"/>
    <x v="1"/>
    <x v="2"/>
    <x v="1"/>
    <x v="0"/>
    <x v="0"/>
    <x v="2"/>
    <x v="1"/>
    <x v="79"/>
    <x v="2"/>
    <x v="143"/>
  </r>
  <r>
    <x v="4"/>
    <x v="145"/>
    <x v="3"/>
    <x v="2"/>
    <x v="1"/>
    <x v="5"/>
    <x v="5"/>
    <x v="2"/>
    <x v="1"/>
    <x v="119"/>
    <x v="5"/>
    <x v="4"/>
    <x v="7"/>
    <x v="0"/>
    <x v="1"/>
    <x v="2"/>
    <x v="0"/>
    <x v="0"/>
    <x v="80"/>
    <x v="0"/>
    <x v="144"/>
  </r>
  <r>
    <x v="10"/>
    <x v="146"/>
    <x v="30"/>
    <x v="4"/>
    <x v="1"/>
    <x v="1"/>
    <x v="1"/>
    <x v="0"/>
    <x v="1"/>
    <x v="43"/>
    <x v="1"/>
    <x v="0"/>
    <x v="1"/>
    <x v="0"/>
    <x v="0"/>
    <x v="0"/>
    <x v="1"/>
    <x v="1"/>
    <x v="1"/>
    <x v="1"/>
    <x v="145"/>
  </r>
  <r>
    <x v="6"/>
    <x v="147"/>
    <x v="19"/>
    <x v="2"/>
    <x v="0"/>
    <x v="3"/>
    <x v="3"/>
    <x v="2"/>
    <x v="1"/>
    <x v="120"/>
    <x v="3"/>
    <x v="3"/>
    <x v="8"/>
    <x v="0"/>
    <x v="0"/>
    <x v="0"/>
    <x v="0"/>
    <x v="0"/>
    <x v="81"/>
    <x v="2"/>
    <x v="146"/>
  </r>
  <r>
    <x v="1"/>
    <x v="148"/>
    <x v="0"/>
    <x v="11"/>
    <x v="0"/>
    <x v="1"/>
    <x v="1"/>
    <x v="0"/>
    <x v="0"/>
    <x v="121"/>
    <x v="1"/>
    <x v="4"/>
    <x v="7"/>
    <x v="0"/>
    <x v="0"/>
    <x v="0"/>
    <x v="1"/>
    <x v="0"/>
    <x v="1"/>
    <x v="1"/>
    <x v="147"/>
  </r>
  <r>
    <x v="10"/>
    <x v="149"/>
    <x v="31"/>
    <x v="4"/>
    <x v="0"/>
    <x v="3"/>
    <x v="3"/>
    <x v="2"/>
    <x v="1"/>
    <x v="122"/>
    <x v="3"/>
    <x v="2"/>
    <x v="3"/>
    <x v="0"/>
    <x v="1"/>
    <x v="1"/>
    <x v="1"/>
    <x v="1"/>
    <x v="82"/>
    <x v="0"/>
    <x v="148"/>
  </r>
  <r>
    <x v="4"/>
    <x v="150"/>
    <x v="21"/>
    <x v="3"/>
    <x v="1"/>
    <x v="2"/>
    <x v="2"/>
    <x v="1"/>
    <x v="1"/>
    <x v="123"/>
    <x v="2"/>
    <x v="3"/>
    <x v="8"/>
    <x v="0"/>
    <x v="0"/>
    <x v="0"/>
    <x v="0"/>
    <x v="1"/>
    <x v="1"/>
    <x v="1"/>
    <x v="149"/>
  </r>
  <r>
    <x v="11"/>
    <x v="151"/>
    <x v="21"/>
    <x v="4"/>
    <x v="1"/>
    <x v="7"/>
    <x v="7"/>
    <x v="0"/>
    <x v="1"/>
    <x v="124"/>
    <x v="7"/>
    <x v="3"/>
    <x v="4"/>
    <x v="0"/>
    <x v="0"/>
    <x v="0"/>
    <x v="0"/>
    <x v="1"/>
    <x v="83"/>
    <x v="2"/>
    <x v="150"/>
  </r>
  <r>
    <x v="8"/>
    <x v="152"/>
    <x v="0"/>
    <x v="11"/>
    <x v="1"/>
    <x v="3"/>
    <x v="3"/>
    <x v="2"/>
    <x v="1"/>
    <x v="125"/>
    <x v="3"/>
    <x v="4"/>
    <x v="7"/>
    <x v="0"/>
    <x v="0"/>
    <x v="0"/>
    <x v="2"/>
    <x v="0"/>
    <x v="1"/>
    <x v="1"/>
    <x v="151"/>
  </r>
  <r>
    <x v="11"/>
    <x v="153"/>
    <x v="38"/>
    <x v="11"/>
    <x v="1"/>
    <x v="1"/>
    <x v="1"/>
    <x v="0"/>
    <x v="1"/>
    <x v="126"/>
    <x v="1"/>
    <x v="4"/>
    <x v="7"/>
    <x v="0"/>
    <x v="0"/>
    <x v="0"/>
    <x v="0"/>
    <x v="0"/>
    <x v="1"/>
    <x v="1"/>
    <x v="152"/>
  </r>
  <r>
    <x v="3"/>
    <x v="154"/>
    <x v="12"/>
    <x v="9"/>
    <x v="0"/>
    <x v="7"/>
    <x v="7"/>
    <x v="0"/>
    <x v="1"/>
    <x v="127"/>
    <x v="7"/>
    <x v="2"/>
    <x v="3"/>
    <x v="0"/>
    <x v="0"/>
    <x v="0"/>
    <x v="0"/>
    <x v="0"/>
    <x v="1"/>
    <x v="1"/>
    <x v="153"/>
  </r>
  <r>
    <x v="2"/>
    <x v="155"/>
    <x v="18"/>
    <x v="0"/>
    <x v="1"/>
    <x v="5"/>
    <x v="5"/>
    <x v="2"/>
    <x v="1"/>
    <x v="128"/>
    <x v="5"/>
    <x v="0"/>
    <x v="1"/>
    <x v="0"/>
    <x v="0"/>
    <x v="0"/>
    <x v="0"/>
    <x v="0"/>
    <x v="84"/>
    <x v="2"/>
    <x v="154"/>
  </r>
  <r>
    <x v="0"/>
    <x v="156"/>
    <x v="3"/>
    <x v="4"/>
    <x v="1"/>
    <x v="7"/>
    <x v="7"/>
    <x v="0"/>
    <x v="1"/>
    <x v="56"/>
    <x v="7"/>
    <x v="2"/>
    <x v="3"/>
    <x v="0"/>
    <x v="0"/>
    <x v="0"/>
    <x v="1"/>
    <x v="0"/>
    <x v="85"/>
    <x v="0"/>
    <x v="155"/>
  </r>
  <r>
    <x v="7"/>
    <x v="157"/>
    <x v="40"/>
    <x v="8"/>
    <x v="0"/>
    <x v="9"/>
    <x v="9"/>
    <x v="2"/>
    <x v="1"/>
    <x v="129"/>
    <x v="9"/>
    <x v="3"/>
    <x v="4"/>
    <x v="0"/>
    <x v="0"/>
    <x v="0"/>
    <x v="2"/>
    <x v="0"/>
    <x v="1"/>
    <x v="1"/>
    <x v="156"/>
  </r>
  <r>
    <x v="7"/>
    <x v="158"/>
    <x v="36"/>
    <x v="1"/>
    <x v="1"/>
    <x v="0"/>
    <x v="0"/>
    <x v="0"/>
    <x v="0"/>
    <x v="130"/>
    <x v="0"/>
    <x v="0"/>
    <x v="5"/>
    <x v="0"/>
    <x v="1"/>
    <x v="3"/>
    <x v="1"/>
    <x v="0"/>
    <x v="1"/>
    <x v="1"/>
    <x v="157"/>
  </r>
  <r>
    <x v="1"/>
    <x v="159"/>
    <x v="21"/>
    <x v="4"/>
    <x v="1"/>
    <x v="8"/>
    <x v="8"/>
    <x v="2"/>
    <x v="1"/>
    <x v="131"/>
    <x v="8"/>
    <x v="4"/>
    <x v="6"/>
    <x v="0"/>
    <x v="0"/>
    <x v="0"/>
    <x v="1"/>
    <x v="0"/>
    <x v="1"/>
    <x v="1"/>
    <x v="158"/>
  </r>
  <r>
    <x v="8"/>
    <x v="160"/>
    <x v="48"/>
    <x v="1"/>
    <x v="1"/>
    <x v="3"/>
    <x v="3"/>
    <x v="2"/>
    <x v="0"/>
    <x v="132"/>
    <x v="3"/>
    <x v="4"/>
    <x v="7"/>
    <x v="0"/>
    <x v="0"/>
    <x v="0"/>
    <x v="0"/>
    <x v="0"/>
    <x v="86"/>
    <x v="2"/>
    <x v="159"/>
  </r>
  <r>
    <x v="2"/>
    <x v="161"/>
    <x v="35"/>
    <x v="8"/>
    <x v="0"/>
    <x v="7"/>
    <x v="7"/>
    <x v="0"/>
    <x v="0"/>
    <x v="132"/>
    <x v="7"/>
    <x v="3"/>
    <x v="8"/>
    <x v="0"/>
    <x v="2"/>
    <x v="5"/>
    <x v="0"/>
    <x v="0"/>
    <x v="87"/>
    <x v="2"/>
    <x v="160"/>
  </r>
  <r>
    <x v="9"/>
    <x v="162"/>
    <x v="6"/>
    <x v="8"/>
    <x v="0"/>
    <x v="7"/>
    <x v="7"/>
    <x v="0"/>
    <x v="1"/>
    <x v="53"/>
    <x v="7"/>
    <x v="2"/>
    <x v="3"/>
    <x v="0"/>
    <x v="1"/>
    <x v="1"/>
    <x v="1"/>
    <x v="1"/>
    <x v="88"/>
    <x v="0"/>
    <x v="161"/>
  </r>
  <r>
    <x v="9"/>
    <x v="163"/>
    <x v="25"/>
    <x v="1"/>
    <x v="1"/>
    <x v="4"/>
    <x v="4"/>
    <x v="2"/>
    <x v="1"/>
    <x v="133"/>
    <x v="4"/>
    <x v="0"/>
    <x v="5"/>
    <x v="0"/>
    <x v="1"/>
    <x v="2"/>
    <x v="2"/>
    <x v="1"/>
    <x v="89"/>
    <x v="0"/>
    <x v="162"/>
  </r>
  <r>
    <x v="3"/>
    <x v="164"/>
    <x v="19"/>
    <x v="0"/>
    <x v="0"/>
    <x v="6"/>
    <x v="6"/>
    <x v="1"/>
    <x v="1"/>
    <x v="134"/>
    <x v="6"/>
    <x v="0"/>
    <x v="5"/>
    <x v="0"/>
    <x v="0"/>
    <x v="0"/>
    <x v="1"/>
    <x v="1"/>
    <x v="1"/>
    <x v="1"/>
    <x v="163"/>
  </r>
  <r>
    <x v="1"/>
    <x v="165"/>
    <x v="19"/>
    <x v="8"/>
    <x v="0"/>
    <x v="3"/>
    <x v="3"/>
    <x v="2"/>
    <x v="1"/>
    <x v="135"/>
    <x v="3"/>
    <x v="0"/>
    <x v="5"/>
    <x v="0"/>
    <x v="0"/>
    <x v="0"/>
    <x v="1"/>
    <x v="0"/>
    <x v="1"/>
    <x v="1"/>
    <x v="164"/>
  </r>
  <r>
    <x v="11"/>
    <x v="166"/>
    <x v="21"/>
    <x v="0"/>
    <x v="0"/>
    <x v="5"/>
    <x v="5"/>
    <x v="2"/>
    <x v="1"/>
    <x v="136"/>
    <x v="5"/>
    <x v="3"/>
    <x v="8"/>
    <x v="0"/>
    <x v="0"/>
    <x v="0"/>
    <x v="1"/>
    <x v="1"/>
    <x v="90"/>
    <x v="2"/>
    <x v="165"/>
  </r>
  <r>
    <x v="6"/>
    <x v="167"/>
    <x v="36"/>
    <x v="1"/>
    <x v="1"/>
    <x v="0"/>
    <x v="0"/>
    <x v="0"/>
    <x v="1"/>
    <x v="30"/>
    <x v="0"/>
    <x v="4"/>
    <x v="7"/>
    <x v="0"/>
    <x v="0"/>
    <x v="0"/>
    <x v="1"/>
    <x v="0"/>
    <x v="1"/>
    <x v="1"/>
    <x v="166"/>
  </r>
  <r>
    <x v="9"/>
    <x v="168"/>
    <x v="17"/>
    <x v="8"/>
    <x v="1"/>
    <x v="9"/>
    <x v="9"/>
    <x v="2"/>
    <x v="1"/>
    <x v="43"/>
    <x v="9"/>
    <x v="2"/>
    <x v="3"/>
    <x v="0"/>
    <x v="0"/>
    <x v="0"/>
    <x v="1"/>
    <x v="0"/>
    <x v="91"/>
    <x v="2"/>
    <x v="167"/>
  </r>
  <r>
    <x v="10"/>
    <x v="169"/>
    <x v="29"/>
    <x v="5"/>
    <x v="0"/>
    <x v="7"/>
    <x v="7"/>
    <x v="0"/>
    <x v="1"/>
    <x v="68"/>
    <x v="7"/>
    <x v="4"/>
    <x v="6"/>
    <x v="0"/>
    <x v="0"/>
    <x v="0"/>
    <x v="1"/>
    <x v="0"/>
    <x v="92"/>
    <x v="2"/>
    <x v="168"/>
  </r>
  <r>
    <x v="0"/>
    <x v="170"/>
    <x v="33"/>
    <x v="1"/>
    <x v="1"/>
    <x v="9"/>
    <x v="9"/>
    <x v="2"/>
    <x v="0"/>
    <x v="137"/>
    <x v="9"/>
    <x v="0"/>
    <x v="5"/>
    <x v="0"/>
    <x v="0"/>
    <x v="0"/>
    <x v="1"/>
    <x v="0"/>
    <x v="1"/>
    <x v="1"/>
    <x v="169"/>
  </r>
  <r>
    <x v="0"/>
    <x v="171"/>
    <x v="28"/>
    <x v="8"/>
    <x v="0"/>
    <x v="7"/>
    <x v="7"/>
    <x v="0"/>
    <x v="1"/>
    <x v="138"/>
    <x v="7"/>
    <x v="0"/>
    <x v="1"/>
    <x v="0"/>
    <x v="1"/>
    <x v="2"/>
    <x v="1"/>
    <x v="1"/>
    <x v="93"/>
    <x v="2"/>
    <x v="170"/>
  </r>
  <r>
    <x v="1"/>
    <x v="172"/>
    <x v="29"/>
    <x v="5"/>
    <x v="0"/>
    <x v="7"/>
    <x v="7"/>
    <x v="0"/>
    <x v="1"/>
    <x v="99"/>
    <x v="7"/>
    <x v="0"/>
    <x v="1"/>
    <x v="0"/>
    <x v="0"/>
    <x v="0"/>
    <x v="2"/>
    <x v="0"/>
    <x v="1"/>
    <x v="1"/>
    <x v="171"/>
  </r>
  <r>
    <x v="5"/>
    <x v="173"/>
    <x v="28"/>
    <x v="6"/>
    <x v="1"/>
    <x v="7"/>
    <x v="7"/>
    <x v="0"/>
    <x v="0"/>
    <x v="124"/>
    <x v="7"/>
    <x v="4"/>
    <x v="7"/>
    <x v="0"/>
    <x v="0"/>
    <x v="0"/>
    <x v="1"/>
    <x v="1"/>
    <x v="1"/>
    <x v="1"/>
    <x v="172"/>
  </r>
  <r>
    <x v="5"/>
    <x v="174"/>
    <x v="35"/>
    <x v="8"/>
    <x v="0"/>
    <x v="9"/>
    <x v="9"/>
    <x v="2"/>
    <x v="1"/>
    <x v="139"/>
    <x v="9"/>
    <x v="0"/>
    <x v="5"/>
    <x v="0"/>
    <x v="1"/>
    <x v="1"/>
    <x v="0"/>
    <x v="0"/>
    <x v="94"/>
    <x v="0"/>
    <x v="173"/>
  </r>
  <r>
    <x v="3"/>
    <x v="175"/>
    <x v="28"/>
    <x v="13"/>
    <x v="0"/>
    <x v="6"/>
    <x v="6"/>
    <x v="1"/>
    <x v="1"/>
    <x v="59"/>
    <x v="6"/>
    <x v="3"/>
    <x v="4"/>
    <x v="0"/>
    <x v="1"/>
    <x v="1"/>
    <x v="0"/>
    <x v="0"/>
    <x v="1"/>
    <x v="1"/>
    <x v="174"/>
  </r>
  <r>
    <x v="5"/>
    <x v="176"/>
    <x v="24"/>
    <x v="1"/>
    <x v="0"/>
    <x v="7"/>
    <x v="7"/>
    <x v="0"/>
    <x v="0"/>
    <x v="78"/>
    <x v="7"/>
    <x v="2"/>
    <x v="3"/>
    <x v="0"/>
    <x v="0"/>
    <x v="0"/>
    <x v="1"/>
    <x v="0"/>
    <x v="1"/>
    <x v="1"/>
    <x v="175"/>
  </r>
  <r>
    <x v="0"/>
    <x v="177"/>
    <x v="18"/>
    <x v="11"/>
    <x v="1"/>
    <x v="3"/>
    <x v="3"/>
    <x v="2"/>
    <x v="1"/>
    <x v="62"/>
    <x v="3"/>
    <x v="4"/>
    <x v="7"/>
    <x v="0"/>
    <x v="0"/>
    <x v="0"/>
    <x v="1"/>
    <x v="0"/>
    <x v="95"/>
    <x v="2"/>
    <x v="176"/>
  </r>
  <r>
    <x v="4"/>
    <x v="178"/>
    <x v="30"/>
    <x v="8"/>
    <x v="0"/>
    <x v="1"/>
    <x v="1"/>
    <x v="0"/>
    <x v="1"/>
    <x v="140"/>
    <x v="1"/>
    <x v="0"/>
    <x v="5"/>
    <x v="0"/>
    <x v="0"/>
    <x v="0"/>
    <x v="1"/>
    <x v="1"/>
    <x v="1"/>
    <x v="1"/>
    <x v="177"/>
  </r>
  <r>
    <x v="7"/>
    <x v="179"/>
    <x v="3"/>
    <x v="2"/>
    <x v="1"/>
    <x v="7"/>
    <x v="7"/>
    <x v="0"/>
    <x v="1"/>
    <x v="141"/>
    <x v="7"/>
    <x v="0"/>
    <x v="1"/>
    <x v="0"/>
    <x v="0"/>
    <x v="0"/>
    <x v="1"/>
    <x v="0"/>
    <x v="96"/>
    <x v="0"/>
    <x v="178"/>
  </r>
  <r>
    <x v="8"/>
    <x v="180"/>
    <x v="32"/>
    <x v="11"/>
    <x v="0"/>
    <x v="3"/>
    <x v="3"/>
    <x v="2"/>
    <x v="0"/>
    <x v="142"/>
    <x v="3"/>
    <x v="4"/>
    <x v="6"/>
    <x v="0"/>
    <x v="1"/>
    <x v="4"/>
    <x v="0"/>
    <x v="0"/>
    <x v="97"/>
    <x v="2"/>
    <x v="179"/>
  </r>
  <r>
    <x v="0"/>
    <x v="181"/>
    <x v="32"/>
    <x v="2"/>
    <x v="0"/>
    <x v="3"/>
    <x v="3"/>
    <x v="2"/>
    <x v="1"/>
    <x v="90"/>
    <x v="3"/>
    <x v="3"/>
    <x v="8"/>
    <x v="0"/>
    <x v="0"/>
    <x v="0"/>
    <x v="1"/>
    <x v="0"/>
    <x v="1"/>
    <x v="1"/>
    <x v="180"/>
  </r>
  <r>
    <x v="3"/>
    <x v="182"/>
    <x v="38"/>
    <x v="11"/>
    <x v="0"/>
    <x v="8"/>
    <x v="8"/>
    <x v="2"/>
    <x v="1"/>
    <x v="93"/>
    <x v="8"/>
    <x v="0"/>
    <x v="5"/>
    <x v="0"/>
    <x v="0"/>
    <x v="0"/>
    <x v="1"/>
    <x v="1"/>
    <x v="98"/>
    <x v="2"/>
    <x v="181"/>
  </r>
  <r>
    <x v="5"/>
    <x v="183"/>
    <x v="10"/>
    <x v="4"/>
    <x v="1"/>
    <x v="9"/>
    <x v="9"/>
    <x v="2"/>
    <x v="1"/>
    <x v="98"/>
    <x v="9"/>
    <x v="1"/>
    <x v="2"/>
    <x v="1"/>
    <x v="0"/>
    <x v="0"/>
    <x v="1"/>
    <x v="1"/>
    <x v="1"/>
    <x v="1"/>
    <x v="182"/>
  </r>
  <r>
    <x v="3"/>
    <x v="184"/>
    <x v="10"/>
    <x v="5"/>
    <x v="1"/>
    <x v="4"/>
    <x v="4"/>
    <x v="2"/>
    <x v="1"/>
    <x v="143"/>
    <x v="4"/>
    <x v="3"/>
    <x v="8"/>
    <x v="0"/>
    <x v="0"/>
    <x v="0"/>
    <x v="1"/>
    <x v="0"/>
    <x v="99"/>
    <x v="0"/>
    <x v="183"/>
  </r>
  <r>
    <x v="3"/>
    <x v="185"/>
    <x v="13"/>
    <x v="6"/>
    <x v="1"/>
    <x v="1"/>
    <x v="1"/>
    <x v="0"/>
    <x v="1"/>
    <x v="144"/>
    <x v="1"/>
    <x v="3"/>
    <x v="8"/>
    <x v="0"/>
    <x v="0"/>
    <x v="0"/>
    <x v="0"/>
    <x v="1"/>
    <x v="1"/>
    <x v="1"/>
    <x v="184"/>
  </r>
  <r>
    <x v="0"/>
    <x v="186"/>
    <x v="13"/>
    <x v="11"/>
    <x v="1"/>
    <x v="8"/>
    <x v="8"/>
    <x v="2"/>
    <x v="1"/>
    <x v="145"/>
    <x v="8"/>
    <x v="0"/>
    <x v="5"/>
    <x v="0"/>
    <x v="0"/>
    <x v="0"/>
    <x v="1"/>
    <x v="0"/>
    <x v="100"/>
    <x v="0"/>
    <x v="185"/>
  </r>
  <r>
    <x v="9"/>
    <x v="187"/>
    <x v="35"/>
    <x v="13"/>
    <x v="1"/>
    <x v="1"/>
    <x v="1"/>
    <x v="0"/>
    <x v="0"/>
    <x v="146"/>
    <x v="1"/>
    <x v="0"/>
    <x v="0"/>
    <x v="0"/>
    <x v="2"/>
    <x v="5"/>
    <x v="1"/>
    <x v="0"/>
    <x v="101"/>
    <x v="2"/>
    <x v="186"/>
  </r>
  <r>
    <x v="6"/>
    <x v="188"/>
    <x v="18"/>
    <x v="8"/>
    <x v="1"/>
    <x v="4"/>
    <x v="4"/>
    <x v="2"/>
    <x v="1"/>
    <x v="147"/>
    <x v="4"/>
    <x v="0"/>
    <x v="0"/>
    <x v="0"/>
    <x v="1"/>
    <x v="7"/>
    <x v="2"/>
    <x v="0"/>
    <x v="102"/>
    <x v="0"/>
    <x v="187"/>
  </r>
  <r>
    <x v="11"/>
    <x v="189"/>
    <x v="16"/>
    <x v="2"/>
    <x v="1"/>
    <x v="6"/>
    <x v="6"/>
    <x v="1"/>
    <x v="1"/>
    <x v="125"/>
    <x v="6"/>
    <x v="0"/>
    <x v="5"/>
    <x v="0"/>
    <x v="0"/>
    <x v="0"/>
    <x v="1"/>
    <x v="1"/>
    <x v="1"/>
    <x v="1"/>
    <x v="188"/>
  </r>
  <r>
    <x v="5"/>
    <x v="190"/>
    <x v="9"/>
    <x v="4"/>
    <x v="0"/>
    <x v="2"/>
    <x v="2"/>
    <x v="1"/>
    <x v="1"/>
    <x v="131"/>
    <x v="2"/>
    <x v="3"/>
    <x v="4"/>
    <x v="0"/>
    <x v="0"/>
    <x v="0"/>
    <x v="0"/>
    <x v="0"/>
    <x v="103"/>
    <x v="0"/>
    <x v="189"/>
  </r>
  <r>
    <x v="2"/>
    <x v="191"/>
    <x v="2"/>
    <x v="13"/>
    <x v="0"/>
    <x v="7"/>
    <x v="7"/>
    <x v="0"/>
    <x v="1"/>
    <x v="66"/>
    <x v="7"/>
    <x v="3"/>
    <x v="4"/>
    <x v="0"/>
    <x v="1"/>
    <x v="2"/>
    <x v="1"/>
    <x v="1"/>
    <x v="104"/>
    <x v="2"/>
    <x v="190"/>
  </r>
  <r>
    <x v="2"/>
    <x v="192"/>
    <x v="44"/>
    <x v="7"/>
    <x v="1"/>
    <x v="3"/>
    <x v="3"/>
    <x v="2"/>
    <x v="1"/>
    <x v="148"/>
    <x v="3"/>
    <x v="1"/>
    <x v="2"/>
    <x v="1"/>
    <x v="0"/>
    <x v="0"/>
    <x v="1"/>
    <x v="0"/>
    <x v="105"/>
    <x v="0"/>
    <x v="191"/>
  </r>
  <r>
    <x v="9"/>
    <x v="193"/>
    <x v="39"/>
    <x v="4"/>
    <x v="0"/>
    <x v="2"/>
    <x v="2"/>
    <x v="1"/>
    <x v="1"/>
    <x v="28"/>
    <x v="2"/>
    <x v="5"/>
    <x v="2"/>
    <x v="1"/>
    <x v="0"/>
    <x v="0"/>
    <x v="0"/>
    <x v="0"/>
    <x v="1"/>
    <x v="1"/>
    <x v="192"/>
  </r>
  <r>
    <x v="8"/>
    <x v="194"/>
    <x v="14"/>
    <x v="9"/>
    <x v="0"/>
    <x v="3"/>
    <x v="3"/>
    <x v="2"/>
    <x v="1"/>
    <x v="149"/>
    <x v="3"/>
    <x v="0"/>
    <x v="0"/>
    <x v="0"/>
    <x v="1"/>
    <x v="1"/>
    <x v="2"/>
    <x v="1"/>
    <x v="106"/>
    <x v="2"/>
    <x v="193"/>
  </r>
  <r>
    <x v="0"/>
    <x v="195"/>
    <x v="36"/>
    <x v="11"/>
    <x v="1"/>
    <x v="8"/>
    <x v="8"/>
    <x v="2"/>
    <x v="1"/>
    <x v="150"/>
    <x v="8"/>
    <x v="0"/>
    <x v="1"/>
    <x v="0"/>
    <x v="0"/>
    <x v="0"/>
    <x v="0"/>
    <x v="1"/>
    <x v="107"/>
    <x v="2"/>
    <x v="194"/>
  </r>
  <r>
    <x v="9"/>
    <x v="196"/>
    <x v="13"/>
    <x v="4"/>
    <x v="1"/>
    <x v="3"/>
    <x v="3"/>
    <x v="2"/>
    <x v="1"/>
    <x v="151"/>
    <x v="3"/>
    <x v="2"/>
    <x v="3"/>
    <x v="0"/>
    <x v="0"/>
    <x v="0"/>
    <x v="0"/>
    <x v="1"/>
    <x v="1"/>
    <x v="1"/>
    <x v="195"/>
  </r>
  <r>
    <x v="0"/>
    <x v="197"/>
    <x v="0"/>
    <x v="5"/>
    <x v="0"/>
    <x v="0"/>
    <x v="0"/>
    <x v="0"/>
    <x v="1"/>
    <x v="152"/>
    <x v="0"/>
    <x v="5"/>
    <x v="2"/>
    <x v="1"/>
    <x v="0"/>
    <x v="0"/>
    <x v="0"/>
    <x v="0"/>
    <x v="1"/>
    <x v="1"/>
    <x v="196"/>
  </r>
  <r>
    <x v="9"/>
    <x v="198"/>
    <x v="22"/>
    <x v="8"/>
    <x v="0"/>
    <x v="7"/>
    <x v="7"/>
    <x v="0"/>
    <x v="1"/>
    <x v="153"/>
    <x v="7"/>
    <x v="1"/>
    <x v="2"/>
    <x v="1"/>
    <x v="0"/>
    <x v="0"/>
    <x v="0"/>
    <x v="0"/>
    <x v="1"/>
    <x v="1"/>
    <x v="197"/>
  </r>
  <r>
    <x v="8"/>
    <x v="199"/>
    <x v="32"/>
    <x v="7"/>
    <x v="0"/>
    <x v="3"/>
    <x v="3"/>
    <x v="2"/>
    <x v="0"/>
    <x v="154"/>
    <x v="3"/>
    <x v="0"/>
    <x v="5"/>
    <x v="0"/>
    <x v="0"/>
    <x v="0"/>
    <x v="2"/>
    <x v="1"/>
    <x v="1"/>
    <x v="1"/>
    <x v="198"/>
  </r>
  <r>
    <x v="9"/>
    <x v="200"/>
    <x v="44"/>
    <x v="4"/>
    <x v="0"/>
    <x v="1"/>
    <x v="1"/>
    <x v="0"/>
    <x v="1"/>
    <x v="155"/>
    <x v="1"/>
    <x v="0"/>
    <x v="1"/>
    <x v="0"/>
    <x v="1"/>
    <x v="7"/>
    <x v="1"/>
    <x v="1"/>
    <x v="108"/>
    <x v="0"/>
    <x v="199"/>
  </r>
  <r>
    <x v="4"/>
    <x v="201"/>
    <x v="45"/>
    <x v="2"/>
    <x v="0"/>
    <x v="6"/>
    <x v="6"/>
    <x v="1"/>
    <x v="0"/>
    <x v="156"/>
    <x v="6"/>
    <x v="0"/>
    <x v="1"/>
    <x v="0"/>
    <x v="0"/>
    <x v="0"/>
    <x v="0"/>
    <x v="0"/>
    <x v="1"/>
    <x v="1"/>
    <x v="200"/>
  </r>
  <r>
    <x v="3"/>
    <x v="202"/>
    <x v="15"/>
    <x v="0"/>
    <x v="1"/>
    <x v="7"/>
    <x v="7"/>
    <x v="0"/>
    <x v="0"/>
    <x v="157"/>
    <x v="7"/>
    <x v="2"/>
    <x v="9"/>
    <x v="0"/>
    <x v="0"/>
    <x v="0"/>
    <x v="1"/>
    <x v="1"/>
    <x v="1"/>
    <x v="1"/>
    <x v="201"/>
  </r>
  <r>
    <x v="5"/>
    <x v="203"/>
    <x v="21"/>
    <x v="6"/>
    <x v="0"/>
    <x v="3"/>
    <x v="3"/>
    <x v="2"/>
    <x v="1"/>
    <x v="158"/>
    <x v="3"/>
    <x v="4"/>
    <x v="6"/>
    <x v="0"/>
    <x v="1"/>
    <x v="1"/>
    <x v="1"/>
    <x v="0"/>
    <x v="109"/>
    <x v="0"/>
    <x v="202"/>
  </r>
  <r>
    <x v="3"/>
    <x v="204"/>
    <x v="17"/>
    <x v="8"/>
    <x v="1"/>
    <x v="1"/>
    <x v="1"/>
    <x v="0"/>
    <x v="0"/>
    <x v="159"/>
    <x v="1"/>
    <x v="3"/>
    <x v="4"/>
    <x v="0"/>
    <x v="0"/>
    <x v="0"/>
    <x v="0"/>
    <x v="0"/>
    <x v="1"/>
    <x v="1"/>
    <x v="203"/>
  </r>
  <r>
    <x v="11"/>
    <x v="205"/>
    <x v="4"/>
    <x v="13"/>
    <x v="0"/>
    <x v="7"/>
    <x v="7"/>
    <x v="0"/>
    <x v="1"/>
    <x v="108"/>
    <x v="7"/>
    <x v="3"/>
    <x v="4"/>
    <x v="0"/>
    <x v="0"/>
    <x v="0"/>
    <x v="0"/>
    <x v="0"/>
    <x v="1"/>
    <x v="1"/>
    <x v="204"/>
  </r>
  <r>
    <x v="1"/>
    <x v="206"/>
    <x v="5"/>
    <x v="7"/>
    <x v="1"/>
    <x v="5"/>
    <x v="5"/>
    <x v="2"/>
    <x v="1"/>
    <x v="160"/>
    <x v="5"/>
    <x v="0"/>
    <x v="1"/>
    <x v="0"/>
    <x v="0"/>
    <x v="0"/>
    <x v="1"/>
    <x v="0"/>
    <x v="1"/>
    <x v="1"/>
    <x v="205"/>
  </r>
  <r>
    <x v="8"/>
    <x v="207"/>
    <x v="36"/>
    <x v="1"/>
    <x v="1"/>
    <x v="8"/>
    <x v="8"/>
    <x v="2"/>
    <x v="1"/>
    <x v="161"/>
    <x v="8"/>
    <x v="4"/>
    <x v="7"/>
    <x v="0"/>
    <x v="1"/>
    <x v="4"/>
    <x v="0"/>
    <x v="0"/>
    <x v="110"/>
    <x v="2"/>
    <x v="206"/>
  </r>
  <r>
    <x v="11"/>
    <x v="208"/>
    <x v="35"/>
    <x v="6"/>
    <x v="0"/>
    <x v="8"/>
    <x v="8"/>
    <x v="2"/>
    <x v="1"/>
    <x v="50"/>
    <x v="8"/>
    <x v="0"/>
    <x v="5"/>
    <x v="0"/>
    <x v="0"/>
    <x v="0"/>
    <x v="1"/>
    <x v="0"/>
    <x v="1"/>
    <x v="1"/>
    <x v="207"/>
  </r>
  <r>
    <x v="1"/>
    <x v="209"/>
    <x v="5"/>
    <x v="4"/>
    <x v="1"/>
    <x v="1"/>
    <x v="1"/>
    <x v="0"/>
    <x v="1"/>
    <x v="162"/>
    <x v="1"/>
    <x v="4"/>
    <x v="7"/>
    <x v="0"/>
    <x v="1"/>
    <x v="2"/>
    <x v="0"/>
    <x v="1"/>
    <x v="111"/>
    <x v="2"/>
    <x v="208"/>
  </r>
  <r>
    <x v="11"/>
    <x v="210"/>
    <x v="12"/>
    <x v="2"/>
    <x v="0"/>
    <x v="2"/>
    <x v="2"/>
    <x v="1"/>
    <x v="1"/>
    <x v="2"/>
    <x v="2"/>
    <x v="2"/>
    <x v="9"/>
    <x v="0"/>
    <x v="1"/>
    <x v="4"/>
    <x v="1"/>
    <x v="1"/>
    <x v="112"/>
    <x v="2"/>
    <x v="209"/>
  </r>
  <r>
    <x v="5"/>
    <x v="211"/>
    <x v="4"/>
    <x v="10"/>
    <x v="1"/>
    <x v="4"/>
    <x v="4"/>
    <x v="2"/>
    <x v="1"/>
    <x v="163"/>
    <x v="4"/>
    <x v="4"/>
    <x v="7"/>
    <x v="0"/>
    <x v="1"/>
    <x v="1"/>
    <x v="2"/>
    <x v="0"/>
    <x v="1"/>
    <x v="1"/>
    <x v="210"/>
  </r>
  <r>
    <x v="1"/>
    <x v="212"/>
    <x v="16"/>
    <x v="0"/>
    <x v="0"/>
    <x v="4"/>
    <x v="4"/>
    <x v="2"/>
    <x v="1"/>
    <x v="164"/>
    <x v="4"/>
    <x v="0"/>
    <x v="1"/>
    <x v="0"/>
    <x v="2"/>
    <x v="5"/>
    <x v="0"/>
    <x v="1"/>
    <x v="1"/>
    <x v="1"/>
    <x v="211"/>
  </r>
  <r>
    <x v="3"/>
    <x v="213"/>
    <x v="5"/>
    <x v="5"/>
    <x v="0"/>
    <x v="0"/>
    <x v="0"/>
    <x v="0"/>
    <x v="1"/>
    <x v="165"/>
    <x v="0"/>
    <x v="2"/>
    <x v="3"/>
    <x v="0"/>
    <x v="1"/>
    <x v="4"/>
    <x v="0"/>
    <x v="0"/>
    <x v="113"/>
    <x v="2"/>
    <x v="212"/>
  </r>
  <r>
    <x v="5"/>
    <x v="214"/>
    <x v="24"/>
    <x v="2"/>
    <x v="1"/>
    <x v="3"/>
    <x v="3"/>
    <x v="2"/>
    <x v="1"/>
    <x v="166"/>
    <x v="3"/>
    <x v="4"/>
    <x v="6"/>
    <x v="0"/>
    <x v="1"/>
    <x v="1"/>
    <x v="2"/>
    <x v="0"/>
    <x v="114"/>
    <x v="2"/>
    <x v="213"/>
  </r>
  <r>
    <x v="11"/>
    <x v="215"/>
    <x v="46"/>
    <x v="4"/>
    <x v="0"/>
    <x v="8"/>
    <x v="8"/>
    <x v="2"/>
    <x v="1"/>
    <x v="83"/>
    <x v="8"/>
    <x v="0"/>
    <x v="1"/>
    <x v="0"/>
    <x v="1"/>
    <x v="3"/>
    <x v="1"/>
    <x v="0"/>
    <x v="115"/>
    <x v="0"/>
    <x v="214"/>
  </r>
  <r>
    <x v="10"/>
    <x v="216"/>
    <x v="3"/>
    <x v="4"/>
    <x v="1"/>
    <x v="6"/>
    <x v="6"/>
    <x v="1"/>
    <x v="1"/>
    <x v="167"/>
    <x v="6"/>
    <x v="0"/>
    <x v="1"/>
    <x v="0"/>
    <x v="1"/>
    <x v="4"/>
    <x v="1"/>
    <x v="1"/>
    <x v="116"/>
    <x v="0"/>
    <x v="215"/>
  </r>
  <r>
    <x v="0"/>
    <x v="217"/>
    <x v="49"/>
    <x v="2"/>
    <x v="0"/>
    <x v="2"/>
    <x v="2"/>
    <x v="1"/>
    <x v="1"/>
    <x v="114"/>
    <x v="2"/>
    <x v="4"/>
    <x v="7"/>
    <x v="0"/>
    <x v="1"/>
    <x v="2"/>
    <x v="0"/>
    <x v="0"/>
    <x v="117"/>
    <x v="0"/>
    <x v="216"/>
  </r>
  <r>
    <x v="3"/>
    <x v="218"/>
    <x v="13"/>
    <x v="2"/>
    <x v="0"/>
    <x v="0"/>
    <x v="0"/>
    <x v="0"/>
    <x v="1"/>
    <x v="168"/>
    <x v="0"/>
    <x v="0"/>
    <x v="1"/>
    <x v="0"/>
    <x v="2"/>
    <x v="5"/>
    <x v="0"/>
    <x v="0"/>
    <x v="118"/>
    <x v="0"/>
    <x v="217"/>
  </r>
  <r>
    <x v="4"/>
    <x v="219"/>
    <x v="39"/>
    <x v="8"/>
    <x v="0"/>
    <x v="9"/>
    <x v="9"/>
    <x v="2"/>
    <x v="1"/>
    <x v="169"/>
    <x v="9"/>
    <x v="0"/>
    <x v="1"/>
    <x v="0"/>
    <x v="0"/>
    <x v="0"/>
    <x v="1"/>
    <x v="1"/>
    <x v="119"/>
    <x v="0"/>
    <x v="218"/>
  </r>
  <r>
    <x v="0"/>
    <x v="220"/>
    <x v="19"/>
    <x v="8"/>
    <x v="1"/>
    <x v="6"/>
    <x v="6"/>
    <x v="1"/>
    <x v="1"/>
    <x v="17"/>
    <x v="6"/>
    <x v="0"/>
    <x v="5"/>
    <x v="0"/>
    <x v="1"/>
    <x v="2"/>
    <x v="2"/>
    <x v="0"/>
    <x v="1"/>
    <x v="1"/>
    <x v="219"/>
  </r>
  <r>
    <x v="3"/>
    <x v="221"/>
    <x v="23"/>
    <x v="10"/>
    <x v="1"/>
    <x v="3"/>
    <x v="3"/>
    <x v="2"/>
    <x v="0"/>
    <x v="32"/>
    <x v="3"/>
    <x v="0"/>
    <x v="1"/>
    <x v="0"/>
    <x v="0"/>
    <x v="0"/>
    <x v="0"/>
    <x v="0"/>
    <x v="1"/>
    <x v="1"/>
    <x v="220"/>
  </r>
  <r>
    <x v="5"/>
    <x v="222"/>
    <x v="32"/>
    <x v="1"/>
    <x v="0"/>
    <x v="7"/>
    <x v="7"/>
    <x v="0"/>
    <x v="1"/>
    <x v="89"/>
    <x v="7"/>
    <x v="3"/>
    <x v="8"/>
    <x v="0"/>
    <x v="1"/>
    <x v="2"/>
    <x v="1"/>
    <x v="0"/>
    <x v="120"/>
    <x v="2"/>
    <x v="221"/>
  </r>
  <r>
    <x v="6"/>
    <x v="223"/>
    <x v="2"/>
    <x v="6"/>
    <x v="1"/>
    <x v="7"/>
    <x v="7"/>
    <x v="0"/>
    <x v="1"/>
    <x v="170"/>
    <x v="7"/>
    <x v="4"/>
    <x v="7"/>
    <x v="0"/>
    <x v="0"/>
    <x v="0"/>
    <x v="1"/>
    <x v="0"/>
    <x v="121"/>
    <x v="2"/>
    <x v="222"/>
  </r>
  <r>
    <x v="5"/>
    <x v="224"/>
    <x v="33"/>
    <x v="0"/>
    <x v="1"/>
    <x v="8"/>
    <x v="8"/>
    <x v="2"/>
    <x v="1"/>
    <x v="171"/>
    <x v="8"/>
    <x v="0"/>
    <x v="5"/>
    <x v="0"/>
    <x v="1"/>
    <x v="4"/>
    <x v="0"/>
    <x v="1"/>
    <x v="122"/>
    <x v="0"/>
    <x v="223"/>
  </r>
  <r>
    <x v="11"/>
    <x v="225"/>
    <x v="34"/>
    <x v="8"/>
    <x v="1"/>
    <x v="1"/>
    <x v="1"/>
    <x v="0"/>
    <x v="0"/>
    <x v="172"/>
    <x v="1"/>
    <x v="4"/>
    <x v="7"/>
    <x v="0"/>
    <x v="1"/>
    <x v="6"/>
    <x v="0"/>
    <x v="0"/>
    <x v="123"/>
    <x v="0"/>
    <x v="224"/>
  </r>
  <r>
    <x v="1"/>
    <x v="226"/>
    <x v="6"/>
    <x v="7"/>
    <x v="1"/>
    <x v="3"/>
    <x v="3"/>
    <x v="2"/>
    <x v="1"/>
    <x v="110"/>
    <x v="3"/>
    <x v="0"/>
    <x v="5"/>
    <x v="0"/>
    <x v="2"/>
    <x v="5"/>
    <x v="0"/>
    <x v="0"/>
    <x v="1"/>
    <x v="1"/>
    <x v="225"/>
  </r>
  <r>
    <x v="7"/>
    <x v="227"/>
    <x v="17"/>
    <x v="4"/>
    <x v="0"/>
    <x v="0"/>
    <x v="0"/>
    <x v="0"/>
    <x v="1"/>
    <x v="173"/>
    <x v="0"/>
    <x v="0"/>
    <x v="5"/>
    <x v="0"/>
    <x v="0"/>
    <x v="0"/>
    <x v="1"/>
    <x v="1"/>
    <x v="1"/>
    <x v="1"/>
    <x v="226"/>
  </r>
  <r>
    <x v="7"/>
    <x v="228"/>
    <x v="13"/>
    <x v="4"/>
    <x v="1"/>
    <x v="7"/>
    <x v="7"/>
    <x v="0"/>
    <x v="1"/>
    <x v="174"/>
    <x v="7"/>
    <x v="0"/>
    <x v="1"/>
    <x v="0"/>
    <x v="1"/>
    <x v="2"/>
    <x v="1"/>
    <x v="0"/>
    <x v="124"/>
    <x v="0"/>
    <x v="227"/>
  </r>
  <r>
    <x v="6"/>
    <x v="229"/>
    <x v="29"/>
    <x v="3"/>
    <x v="1"/>
    <x v="5"/>
    <x v="5"/>
    <x v="2"/>
    <x v="1"/>
    <x v="175"/>
    <x v="5"/>
    <x v="2"/>
    <x v="3"/>
    <x v="0"/>
    <x v="1"/>
    <x v="2"/>
    <x v="1"/>
    <x v="1"/>
    <x v="125"/>
    <x v="0"/>
    <x v="228"/>
  </r>
  <r>
    <x v="3"/>
    <x v="230"/>
    <x v="10"/>
    <x v="8"/>
    <x v="0"/>
    <x v="0"/>
    <x v="0"/>
    <x v="0"/>
    <x v="1"/>
    <x v="1"/>
    <x v="0"/>
    <x v="5"/>
    <x v="2"/>
    <x v="1"/>
    <x v="2"/>
    <x v="5"/>
    <x v="0"/>
    <x v="1"/>
    <x v="126"/>
    <x v="2"/>
    <x v="229"/>
  </r>
  <r>
    <x v="4"/>
    <x v="231"/>
    <x v="26"/>
    <x v="3"/>
    <x v="1"/>
    <x v="4"/>
    <x v="4"/>
    <x v="2"/>
    <x v="1"/>
    <x v="147"/>
    <x v="4"/>
    <x v="3"/>
    <x v="8"/>
    <x v="0"/>
    <x v="2"/>
    <x v="5"/>
    <x v="1"/>
    <x v="0"/>
    <x v="127"/>
    <x v="0"/>
    <x v="230"/>
  </r>
  <r>
    <x v="10"/>
    <x v="232"/>
    <x v="42"/>
    <x v="4"/>
    <x v="0"/>
    <x v="9"/>
    <x v="9"/>
    <x v="2"/>
    <x v="1"/>
    <x v="176"/>
    <x v="9"/>
    <x v="0"/>
    <x v="0"/>
    <x v="0"/>
    <x v="0"/>
    <x v="0"/>
    <x v="1"/>
    <x v="1"/>
    <x v="1"/>
    <x v="1"/>
    <x v="231"/>
  </r>
  <r>
    <x v="1"/>
    <x v="233"/>
    <x v="5"/>
    <x v="2"/>
    <x v="1"/>
    <x v="4"/>
    <x v="4"/>
    <x v="2"/>
    <x v="1"/>
    <x v="177"/>
    <x v="4"/>
    <x v="0"/>
    <x v="1"/>
    <x v="0"/>
    <x v="0"/>
    <x v="0"/>
    <x v="1"/>
    <x v="0"/>
    <x v="128"/>
    <x v="2"/>
    <x v="232"/>
  </r>
  <r>
    <x v="3"/>
    <x v="234"/>
    <x v="46"/>
    <x v="7"/>
    <x v="0"/>
    <x v="4"/>
    <x v="4"/>
    <x v="2"/>
    <x v="1"/>
    <x v="95"/>
    <x v="4"/>
    <x v="0"/>
    <x v="1"/>
    <x v="0"/>
    <x v="0"/>
    <x v="0"/>
    <x v="1"/>
    <x v="1"/>
    <x v="129"/>
    <x v="2"/>
    <x v="233"/>
  </r>
  <r>
    <x v="5"/>
    <x v="235"/>
    <x v="4"/>
    <x v="0"/>
    <x v="0"/>
    <x v="7"/>
    <x v="7"/>
    <x v="0"/>
    <x v="1"/>
    <x v="160"/>
    <x v="7"/>
    <x v="2"/>
    <x v="3"/>
    <x v="0"/>
    <x v="2"/>
    <x v="5"/>
    <x v="0"/>
    <x v="0"/>
    <x v="130"/>
    <x v="2"/>
    <x v="234"/>
  </r>
  <r>
    <x v="2"/>
    <x v="236"/>
    <x v="30"/>
    <x v="4"/>
    <x v="0"/>
    <x v="8"/>
    <x v="8"/>
    <x v="2"/>
    <x v="0"/>
    <x v="178"/>
    <x v="8"/>
    <x v="0"/>
    <x v="5"/>
    <x v="0"/>
    <x v="0"/>
    <x v="0"/>
    <x v="1"/>
    <x v="1"/>
    <x v="131"/>
    <x v="0"/>
    <x v="235"/>
  </r>
  <r>
    <x v="3"/>
    <x v="237"/>
    <x v="13"/>
    <x v="8"/>
    <x v="1"/>
    <x v="6"/>
    <x v="6"/>
    <x v="1"/>
    <x v="1"/>
    <x v="116"/>
    <x v="6"/>
    <x v="5"/>
    <x v="2"/>
    <x v="1"/>
    <x v="1"/>
    <x v="2"/>
    <x v="1"/>
    <x v="0"/>
    <x v="32"/>
    <x v="0"/>
    <x v="236"/>
  </r>
  <r>
    <x v="11"/>
    <x v="238"/>
    <x v="18"/>
    <x v="8"/>
    <x v="1"/>
    <x v="1"/>
    <x v="1"/>
    <x v="0"/>
    <x v="1"/>
    <x v="169"/>
    <x v="1"/>
    <x v="4"/>
    <x v="6"/>
    <x v="0"/>
    <x v="1"/>
    <x v="4"/>
    <x v="1"/>
    <x v="1"/>
    <x v="132"/>
    <x v="2"/>
    <x v="237"/>
  </r>
  <r>
    <x v="2"/>
    <x v="239"/>
    <x v="27"/>
    <x v="12"/>
    <x v="0"/>
    <x v="9"/>
    <x v="9"/>
    <x v="2"/>
    <x v="1"/>
    <x v="179"/>
    <x v="9"/>
    <x v="3"/>
    <x v="8"/>
    <x v="0"/>
    <x v="0"/>
    <x v="0"/>
    <x v="0"/>
    <x v="0"/>
    <x v="1"/>
    <x v="1"/>
    <x v="238"/>
  </r>
  <r>
    <x v="0"/>
    <x v="240"/>
    <x v="7"/>
    <x v="8"/>
    <x v="1"/>
    <x v="0"/>
    <x v="0"/>
    <x v="0"/>
    <x v="0"/>
    <x v="78"/>
    <x v="0"/>
    <x v="2"/>
    <x v="3"/>
    <x v="0"/>
    <x v="0"/>
    <x v="0"/>
    <x v="1"/>
    <x v="1"/>
    <x v="133"/>
    <x v="2"/>
    <x v="239"/>
  </r>
  <r>
    <x v="2"/>
    <x v="241"/>
    <x v="32"/>
    <x v="4"/>
    <x v="1"/>
    <x v="3"/>
    <x v="3"/>
    <x v="2"/>
    <x v="1"/>
    <x v="180"/>
    <x v="3"/>
    <x v="0"/>
    <x v="0"/>
    <x v="0"/>
    <x v="0"/>
    <x v="0"/>
    <x v="1"/>
    <x v="1"/>
    <x v="134"/>
    <x v="2"/>
    <x v="240"/>
  </r>
  <r>
    <x v="0"/>
    <x v="242"/>
    <x v="3"/>
    <x v="8"/>
    <x v="1"/>
    <x v="8"/>
    <x v="8"/>
    <x v="2"/>
    <x v="0"/>
    <x v="181"/>
    <x v="8"/>
    <x v="2"/>
    <x v="9"/>
    <x v="0"/>
    <x v="1"/>
    <x v="2"/>
    <x v="0"/>
    <x v="0"/>
    <x v="100"/>
    <x v="0"/>
    <x v="241"/>
  </r>
  <r>
    <x v="2"/>
    <x v="243"/>
    <x v="42"/>
    <x v="8"/>
    <x v="0"/>
    <x v="1"/>
    <x v="1"/>
    <x v="0"/>
    <x v="1"/>
    <x v="88"/>
    <x v="1"/>
    <x v="0"/>
    <x v="0"/>
    <x v="0"/>
    <x v="0"/>
    <x v="0"/>
    <x v="2"/>
    <x v="0"/>
    <x v="1"/>
    <x v="1"/>
    <x v="242"/>
  </r>
  <r>
    <x v="2"/>
    <x v="244"/>
    <x v="12"/>
    <x v="8"/>
    <x v="0"/>
    <x v="7"/>
    <x v="7"/>
    <x v="0"/>
    <x v="1"/>
    <x v="136"/>
    <x v="7"/>
    <x v="2"/>
    <x v="9"/>
    <x v="0"/>
    <x v="0"/>
    <x v="0"/>
    <x v="2"/>
    <x v="0"/>
    <x v="135"/>
    <x v="2"/>
    <x v="243"/>
  </r>
  <r>
    <x v="0"/>
    <x v="245"/>
    <x v="36"/>
    <x v="6"/>
    <x v="0"/>
    <x v="3"/>
    <x v="3"/>
    <x v="2"/>
    <x v="1"/>
    <x v="182"/>
    <x v="3"/>
    <x v="3"/>
    <x v="4"/>
    <x v="0"/>
    <x v="1"/>
    <x v="2"/>
    <x v="0"/>
    <x v="1"/>
    <x v="136"/>
    <x v="0"/>
    <x v="244"/>
  </r>
  <r>
    <x v="1"/>
    <x v="246"/>
    <x v="22"/>
    <x v="8"/>
    <x v="0"/>
    <x v="8"/>
    <x v="8"/>
    <x v="2"/>
    <x v="1"/>
    <x v="183"/>
    <x v="8"/>
    <x v="0"/>
    <x v="0"/>
    <x v="0"/>
    <x v="0"/>
    <x v="0"/>
    <x v="1"/>
    <x v="1"/>
    <x v="137"/>
    <x v="2"/>
    <x v="245"/>
  </r>
  <r>
    <x v="9"/>
    <x v="247"/>
    <x v="23"/>
    <x v="3"/>
    <x v="1"/>
    <x v="8"/>
    <x v="8"/>
    <x v="2"/>
    <x v="0"/>
    <x v="184"/>
    <x v="8"/>
    <x v="2"/>
    <x v="3"/>
    <x v="0"/>
    <x v="1"/>
    <x v="4"/>
    <x v="1"/>
    <x v="0"/>
    <x v="1"/>
    <x v="1"/>
    <x v="246"/>
  </r>
  <r>
    <x v="1"/>
    <x v="248"/>
    <x v="23"/>
    <x v="8"/>
    <x v="1"/>
    <x v="6"/>
    <x v="6"/>
    <x v="1"/>
    <x v="0"/>
    <x v="185"/>
    <x v="6"/>
    <x v="0"/>
    <x v="0"/>
    <x v="0"/>
    <x v="0"/>
    <x v="0"/>
    <x v="2"/>
    <x v="0"/>
    <x v="138"/>
    <x v="2"/>
    <x v="247"/>
  </r>
  <r>
    <x v="10"/>
    <x v="249"/>
    <x v="3"/>
    <x v="8"/>
    <x v="1"/>
    <x v="0"/>
    <x v="0"/>
    <x v="0"/>
    <x v="1"/>
    <x v="186"/>
    <x v="0"/>
    <x v="0"/>
    <x v="5"/>
    <x v="0"/>
    <x v="0"/>
    <x v="0"/>
    <x v="0"/>
    <x v="1"/>
    <x v="1"/>
    <x v="1"/>
    <x v="248"/>
  </r>
  <r>
    <x v="6"/>
    <x v="250"/>
    <x v="40"/>
    <x v="12"/>
    <x v="0"/>
    <x v="8"/>
    <x v="8"/>
    <x v="2"/>
    <x v="0"/>
    <x v="19"/>
    <x v="8"/>
    <x v="2"/>
    <x v="9"/>
    <x v="0"/>
    <x v="0"/>
    <x v="0"/>
    <x v="0"/>
    <x v="0"/>
    <x v="1"/>
    <x v="1"/>
    <x v="248"/>
  </r>
  <r>
    <x v="3"/>
    <x v="251"/>
    <x v="22"/>
    <x v="11"/>
    <x v="1"/>
    <x v="1"/>
    <x v="1"/>
    <x v="0"/>
    <x v="1"/>
    <x v="187"/>
    <x v="1"/>
    <x v="3"/>
    <x v="8"/>
    <x v="0"/>
    <x v="0"/>
    <x v="0"/>
    <x v="1"/>
    <x v="0"/>
    <x v="6"/>
    <x v="2"/>
    <x v="249"/>
  </r>
  <r>
    <x v="6"/>
    <x v="252"/>
    <x v="30"/>
    <x v="8"/>
    <x v="0"/>
    <x v="3"/>
    <x v="3"/>
    <x v="2"/>
    <x v="1"/>
    <x v="17"/>
    <x v="3"/>
    <x v="1"/>
    <x v="2"/>
    <x v="1"/>
    <x v="0"/>
    <x v="0"/>
    <x v="0"/>
    <x v="0"/>
    <x v="139"/>
    <x v="2"/>
    <x v="250"/>
  </r>
  <r>
    <x v="11"/>
    <x v="253"/>
    <x v="20"/>
    <x v="13"/>
    <x v="0"/>
    <x v="0"/>
    <x v="0"/>
    <x v="0"/>
    <x v="1"/>
    <x v="188"/>
    <x v="0"/>
    <x v="4"/>
    <x v="6"/>
    <x v="0"/>
    <x v="1"/>
    <x v="1"/>
    <x v="1"/>
    <x v="1"/>
    <x v="140"/>
    <x v="0"/>
    <x v="251"/>
  </r>
  <r>
    <x v="2"/>
    <x v="254"/>
    <x v="13"/>
    <x v="2"/>
    <x v="1"/>
    <x v="5"/>
    <x v="5"/>
    <x v="2"/>
    <x v="1"/>
    <x v="189"/>
    <x v="5"/>
    <x v="4"/>
    <x v="7"/>
    <x v="0"/>
    <x v="0"/>
    <x v="0"/>
    <x v="1"/>
    <x v="0"/>
    <x v="141"/>
    <x v="2"/>
    <x v="252"/>
  </r>
  <r>
    <x v="0"/>
    <x v="255"/>
    <x v="50"/>
    <x v="5"/>
    <x v="1"/>
    <x v="3"/>
    <x v="3"/>
    <x v="2"/>
    <x v="0"/>
    <x v="190"/>
    <x v="3"/>
    <x v="0"/>
    <x v="5"/>
    <x v="0"/>
    <x v="0"/>
    <x v="0"/>
    <x v="0"/>
    <x v="1"/>
    <x v="142"/>
    <x v="0"/>
    <x v="253"/>
  </r>
  <r>
    <x v="5"/>
    <x v="256"/>
    <x v="4"/>
    <x v="0"/>
    <x v="1"/>
    <x v="3"/>
    <x v="3"/>
    <x v="2"/>
    <x v="1"/>
    <x v="191"/>
    <x v="3"/>
    <x v="0"/>
    <x v="1"/>
    <x v="0"/>
    <x v="0"/>
    <x v="0"/>
    <x v="1"/>
    <x v="0"/>
    <x v="1"/>
    <x v="1"/>
    <x v="254"/>
  </r>
  <r>
    <x v="0"/>
    <x v="257"/>
    <x v="10"/>
    <x v="11"/>
    <x v="0"/>
    <x v="1"/>
    <x v="1"/>
    <x v="0"/>
    <x v="1"/>
    <x v="180"/>
    <x v="1"/>
    <x v="5"/>
    <x v="2"/>
    <x v="1"/>
    <x v="0"/>
    <x v="0"/>
    <x v="2"/>
    <x v="1"/>
    <x v="143"/>
    <x v="0"/>
    <x v="59"/>
  </r>
  <r>
    <x v="6"/>
    <x v="258"/>
    <x v="31"/>
    <x v="4"/>
    <x v="0"/>
    <x v="1"/>
    <x v="1"/>
    <x v="0"/>
    <x v="1"/>
    <x v="140"/>
    <x v="1"/>
    <x v="0"/>
    <x v="5"/>
    <x v="0"/>
    <x v="2"/>
    <x v="5"/>
    <x v="1"/>
    <x v="0"/>
    <x v="1"/>
    <x v="1"/>
    <x v="255"/>
  </r>
  <r>
    <x v="2"/>
    <x v="259"/>
    <x v="29"/>
    <x v="1"/>
    <x v="0"/>
    <x v="6"/>
    <x v="6"/>
    <x v="1"/>
    <x v="1"/>
    <x v="165"/>
    <x v="6"/>
    <x v="3"/>
    <x v="8"/>
    <x v="0"/>
    <x v="0"/>
    <x v="0"/>
    <x v="1"/>
    <x v="0"/>
    <x v="1"/>
    <x v="1"/>
    <x v="256"/>
  </r>
  <r>
    <x v="1"/>
    <x v="260"/>
    <x v="45"/>
    <x v="7"/>
    <x v="1"/>
    <x v="1"/>
    <x v="1"/>
    <x v="0"/>
    <x v="1"/>
    <x v="66"/>
    <x v="1"/>
    <x v="0"/>
    <x v="5"/>
    <x v="0"/>
    <x v="2"/>
    <x v="5"/>
    <x v="0"/>
    <x v="0"/>
    <x v="144"/>
    <x v="2"/>
    <x v="257"/>
  </r>
  <r>
    <x v="6"/>
    <x v="261"/>
    <x v="48"/>
    <x v="2"/>
    <x v="1"/>
    <x v="5"/>
    <x v="5"/>
    <x v="2"/>
    <x v="1"/>
    <x v="192"/>
    <x v="5"/>
    <x v="0"/>
    <x v="0"/>
    <x v="0"/>
    <x v="0"/>
    <x v="0"/>
    <x v="0"/>
    <x v="1"/>
    <x v="145"/>
    <x v="0"/>
    <x v="258"/>
  </r>
  <r>
    <x v="11"/>
    <x v="262"/>
    <x v="38"/>
    <x v="10"/>
    <x v="1"/>
    <x v="0"/>
    <x v="0"/>
    <x v="0"/>
    <x v="1"/>
    <x v="193"/>
    <x v="0"/>
    <x v="4"/>
    <x v="7"/>
    <x v="0"/>
    <x v="0"/>
    <x v="0"/>
    <x v="2"/>
    <x v="1"/>
    <x v="1"/>
    <x v="1"/>
    <x v="259"/>
  </r>
  <r>
    <x v="8"/>
    <x v="263"/>
    <x v="43"/>
    <x v="4"/>
    <x v="1"/>
    <x v="4"/>
    <x v="4"/>
    <x v="2"/>
    <x v="1"/>
    <x v="194"/>
    <x v="4"/>
    <x v="2"/>
    <x v="3"/>
    <x v="0"/>
    <x v="0"/>
    <x v="0"/>
    <x v="1"/>
    <x v="0"/>
    <x v="1"/>
    <x v="1"/>
    <x v="260"/>
  </r>
  <r>
    <x v="8"/>
    <x v="264"/>
    <x v="24"/>
    <x v="13"/>
    <x v="1"/>
    <x v="0"/>
    <x v="0"/>
    <x v="0"/>
    <x v="1"/>
    <x v="99"/>
    <x v="0"/>
    <x v="2"/>
    <x v="3"/>
    <x v="0"/>
    <x v="0"/>
    <x v="0"/>
    <x v="1"/>
    <x v="0"/>
    <x v="146"/>
    <x v="2"/>
    <x v="261"/>
  </r>
  <r>
    <x v="7"/>
    <x v="265"/>
    <x v="26"/>
    <x v="4"/>
    <x v="1"/>
    <x v="2"/>
    <x v="2"/>
    <x v="1"/>
    <x v="1"/>
    <x v="195"/>
    <x v="2"/>
    <x v="1"/>
    <x v="2"/>
    <x v="1"/>
    <x v="1"/>
    <x v="4"/>
    <x v="2"/>
    <x v="0"/>
    <x v="147"/>
    <x v="0"/>
    <x v="262"/>
  </r>
  <r>
    <x v="3"/>
    <x v="266"/>
    <x v="38"/>
    <x v="7"/>
    <x v="0"/>
    <x v="7"/>
    <x v="7"/>
    <x v="0"/>
    <x v="1"/>
    <x v="196"/>
    <x v="7"/>
    <x v="0"/>
    <x v="0"/>
    <x v="0"/>
    <x v="0"/>
    <x v="0"/>
    <x v="0"/>
    <x v="1"/>
    <x v="1"/>
    <x v="1"/>
    <x v="263"/>
  </r>
  <r>
    <x v="9"/>
    <x v="267"/>
    <x v="8"/>
    <x v="5"/>
    <x v="1"/>
    <x v="1"/>
    <x v="1"/>
    <x v="0"/>
    <x v="1"/>
    <x v="197"/>
    <x v="1"/>
    <x v="3"/>
    <x v="8"/>
    <x v="0"/>
    <x v="0"/>
    <x v="0"/>
    <x v="1"/>
    <x v="0"/>
    <x v="1"/>
    <x v="1"/>
    <x v="264"/>
  </r>
  <r>
    <x v="2"/>
    <x v="268"/>
    <x v="46"/>
    <x v="7"/>
    <x v="1"/>
    <x v="3"/>
    <x v="3"/>
    <x v="2"/>
    <x v="0"/>
    <x v="198"/>
    <x v="3"/>
    <x v="0"/>
    <x v="1"/>
    <x v="0"/>
    <x v="1"/>
    <x v="2"/>
    <x v="0"/>
    <x v="1"/>
    <x v="148"/>
    <x v="2"/>
    <x v="265"/>
  </r>
  <r>
    <x v="2"/>
    <x v="269"/>
    <x v="29"/>
    <x v="0"/>
    <x v="0"/>
    <x v="2"/>
    <x v="2"/>
    <x v="1"/>
    <x v="1"/>
    <x v="199"/>
    <x v="2"/>
    <x v="2"/>
    <x v="3"/>
    <x v="0"/>
    <x v="1"/>
    <x v="3"/>
    <x v="0"/>
    <x v="1"/>
    <x v="142"/>
    <x v="0"/>
    <x v="266"/>
  </r>
  <r>
    <x v="11"/>
    <x v="270"/>
    <x v="41"/>
    <x v="3"/>
    <x v="1"/>
    <x v="8"/>
    <x v="8"/>
    <x v="2"/>
    <x v="0"/>
    <x v="200"/>
    <x v="8"/>
    <x v="0"/>
    <x v="0"/>
    <x v="0"/>
    <x v="2"/>
    <x v="5"/>
    <x v="1"/>
    <x v="1"/>
    <x v="149"/>
    <x v="2"/>
    <x v="267"/>
  </r>
  <r>
    <x v="10"/>
    <x v="271"/>
    <x v="21"/>
    <x v="9"/>
    <x v="0"/>
    <x v="3"/>
    <x v="3"/>
    <x v="2"/>
    <x v="1"/>
    <x v="0"/>
    <x v="3"/>
    <x v="3"/>
    <x v="8"/>
    <x v="0"/>
    <x v="2"/>
    <x v="5"/>
    <x v="1"/>
    <x v="0"/>
    <x v="150"/>
    <x v="2"/>
    <x v="268"/>
  </r>
  <r>
    <x v="0"/>
    <x v="272"/>
    <x v="13"/>
    <x v="7"/>
    <x v="0"/>
    <x v="5"/>
    <x v="5"/>
    <x v="2"/>
    <x v="1"/>
    <x v="201"/>
    <x v="5"/>
    <x v="0"/>
    <x v="1"/>
    <x v="0"/>
    <x v="1"/>
    <x v="2"/>
    <x v="2"/>
    <x v="1"/>
    <x v="151"/>
    <x v="2"/>
    <x v="269"/>
  </r>
  <r>
    <x v="8"/>
    <x v="273"/>
    <x v="3"/>
    <x v="0"/>
    <x v="0"/>
    <x v="0"/>
    <x v="0"/>
    <x v="0"/>
    <x v="1"/>
    <x v="202"/>
    <x v="0"/>
    <x v="2"/>
    <x v="3"/>
    <x v="0"/>
    <x v="1"/>
    <x v="2"/>
    <x v="0"/>
    <x v="1"/>
    <x v="152"/>
    <x v="2"/>
    <x v="270"/>
  </r>
  <r>
    <x v="3"/>
    <x v="274"/>
    <x v="26"/>
    <x v="0"/>
    <x v="0"/>
    <x v="1"/>
    <x v="1"/>
    <x v="0"/>
    <x v="1"/>
    <x v="203"/>
    <x v="1"/>
    <x v="2"/>
    <x v="3"/>
    <x v="0"/>
    <x v="1"/>
    <x v="6"/>
    <x v="2"/>
    <x v="0"/>
    <x v="153"/>
    <x v="0"/>
    <x v="271"/>
  </r>
  <r>
    <x v="3"/>
    <x v="275"/>
    <x v="3"/>
    <x v="4"/>
    <x v="1"/>
    <x v="7"/>
    <x v="7"/>
    <x v="0"/>
    <x v="0"/>
    <x v="204"/>
    <x v="7"/>
    <x v="1"/>
    <x v="2"/>
    <x v="1"/>
    <x v="0"/>
    <x v="0"/>
    <x v="1"/>
    <x v="0"/>
    <x v="154"/>
    <x v="0"/>
    <x v="272"/>
  </r>
  <r>
    <x v="3"/>
    <x v="276"/>
    <x v="39"/>
    <x v="12"/>
    <x v="0"/>
    <x v="1"/>
    <x v="1"/>
    <x v="0"/>
    <x v="1"/>
    <x v="205"/>
    <x v="1"/>
    <x v="0"/>
    <x v="0"/>
    <x v="0"/>
    <x v="1"/>
    <x v="4"/>
    <x v="1"/>
    <x v="1"/>
    <x v="129"/>
    <x v="2"/>
    <x v="273"/>
  </r>
  <r>
    <x v="1"/>
    <x v="277"/>
    <x v="44"/>
    <x v="8"/>
    <x v="1"/>
    <x v="6"/>
    <x v="6"/>
    <x v="1"/>
    <x v="1"/>
    <x v="206"/>
    <x v="6"/>
    <x v="5"/>
    <x v="2"/>
    <x v="1"/>
    <x v="0"/>
    <x v="0"/>
    <x v="2"/>
    <x v="1"/>
    <x v="1"/>
    <x v="1"/>
    <x v="274"/>
  </r>
  <r>
    <x v="10"/>
    <x v="278"/>
    <x v="47"/>
    <x v="0"/>
    <x v="1"/>
    <x v="4"/>
    <x v="4"/>
    <x v="2"/>
    <x v="1"/>
    <x v="207"/>
    <x v="4"/>
    <x v="0"/>
    <x v="5"/>
    <x v="0"/>
    <x v="1"/>
    <x v="4"/>
    <x v="1"/>
    <x v="0"/>
    <x v="155"/>
    <x v="2"/>
    <x v="275"/>
  </r>
  <r>
    <x v="10"/>
    <x v="279"/>
    <x v="14"/>
    <x v="3"/>
    <x v="1"/>
    <x v="0"/>
    <x v="0"/>
    <x v="0"/>
    <x v="1"/>
    <x v="46"/>
    <x v="0"/>
    <x v="0"/>
    <x v="1"/>
    <x v="0"/>
    <x v="2"/>
    <x v="5"/>
    <x v="1"/>
    <x v="1"/>
    <x v="156"/>
    <x v="2"/>
    <x v="276"/>
  </r>
  <r>
    <x v="11"/>
    <x v="280"/>
    <x v="37"/>
    <x v="1"/>
    <x v="1"/>
    <x v="0"/>
    <x v="0"/>
    <x v="0"/>
    <x v="1"/>
    <x v="201"/>
    <x v="0"/>
    <x v="0"/>
    <x v="1"/>
    <x v="0"/>
    <x v="0"/>
    <x v="0"/>
    <x v="0"/>
    <x v="1"/>
    <x v="157"/>
    <x v="2"/>
    <x v="277"/>
  </r>
  <r>
    <x v="3"/>
    <x v="281"/>
    <x v="47"/>
    <x v="6"/>
    <x v="0"/>
    <x v="0"/>
    <x v="0"/>
    <x v="0"/>
    <x v="1"/>
    <x v="37"/>
    <x v="0"/>
    <x v="0"/>
    <x v="5"/>
    <x v="0"/>
    <x v="1"/>
    <x v="1"/>
    <x v="0"/>
    <x v="0"/>
    <x v="1"/>
    <x v="1"/>
    <x v="278"/>
  </r>
  <r>
    <x v="5"/>
    <x v="282"/>
    <x v="21"/>
    <x v="8"/>
    <x v="1"/>
    <x v="9"/>
    <x v="9"/>
    <x v="2"/>
    <x v="1"/>
    <x v="208"/>
    <x v="9"/>
    <x v="3"/>
    <x v="4"/>
    <x v="0"/>
    <x v="2"/>
    <x v="5"/>
    <x v="2"/>
    <x v="1"/>
    <x v="88"/>
    <x v="0"/>
    <x v="279"/>
  </r>
  <r>
    <x v="3"/>
    <x v="283"/>
    <x v="4"/>
    <x v="7"/>
    <x v="1"/>
    <x v="7"/>
    <x v="7"/>
    <x v="0"/>
    <x v="1"/>
    <x v="116"/>
    <x v="7"/>
    <x v="0"/>
    <x v="0"/>
    <x v="0"/>
    <x v="0"/>
    <x v="0"/>
    <x v="1"/>
    <x v="0"/>
    <x v="1"/>
    <x v="1"/>
    <x v="280"/>
  </r>
  <r>
    <x v="3"/>
    <x v="284"/>
    <x v="14"/>
    <x v="8"/>
    <x v="1"/>
    <x v="8"/>
    <x v="8"/>
    <x v="2"/>
    <x v="1"/>
    <x v="209"/>
    <x v="8"/>
    <x v="0"/>
    <x v="1"/>
    <x v="0"/>
    <x v="0"/>
    <x v="0"/>
    <x v="0"/>
    <x v="1"/>
    <x v="1"/>
    <x v="1"/>
    <x v="281"/>
  </r>
  <r>
    <x v="8"/>
    <x v="285"/>
    <x v="36"/>
    <x v="4"/>
    <x v="0"/>
    <x v="1"/>
    <x v="1"/>
    <x v="0"/>
    <x v="1"/>
    <x v="210"/>
    <x v="1"/>
    <x v="4"/>
    <x v="6"/>
    <x v="0"/>
    <x v="2"/>
    <x v="5"/>
    <x v="0"/>
    <x v="1"/>
    <x v="158"/>
    <x v="2"/>
    <x v="282"/>
  </r>
  <r>
    <x v="0"/>
    <x v="286"/>
    <x v="27"/>
    <x v="0"/>
    <x v="1"/>
    <x v="1"/>
    <x v="1"/>
    <x v="0"/>
    <x v="1"/>
    <x v="60"/>
    <x v="1"/>
    <x v="2"/>
    <x v="3"/>
    <x v="0"/>
    <x v="2"/>
    <x v="5"/>
    <x v="1"/>
    <x v="1"/>
    <x v="159"/>
    <x v="2"/>
    <x v="283"/>
  </r>
  <r>
    <x v="7"/>
    <x v="287"/>
    <x v="36"/>
    <x v="11"/>
    <x v="0"/>
    <x v="6"/>
    <x v="6"/>
    <x v="1"/>
    <x v="1"/>
    <x v="40"/>
    <x v="6"/>
    <x v="4"/>
    <x v="6"/>
    <x v="0"/>
    <x v="0"/>
    <x v="0"/>
    <x v="1"/>
    <x v="1"/>
    <x v="1"/>
    <x v="1"/>
    <x v="284"/>
  </r>
  <r>
    <x v="7"/>
    <x v="288"/>
    <x v="19"/>
    <x v="6"/>
    <x v="0"/>
    <x v="5"/>
    <x v="5"/>
    <x v="2"/>
    <x v="1"/>
    <x v="159"/>
    <x v="5"/>
    <x v="4"/>
    <x v="7"/>
    <x v="0"/>
    <x v="0"/>
    <x v="0"/>
    <x v="0"/>
    <x v="1"/>
    <x v="1"/>
    <x v="1"/>
    <x v="285"/>
  </r>
  <r>
    <x v="3"/>
    <x v="289"/>
    <x v="2"/>
    <x v="8"/>
    <x v="1"/>
    <x v="7"/>
    <x v="7"/>
    <x v="0"/>
    <x v="1"/>
    <x v="211"/>
    <x v="7"/>
    <x v="0"/>
    <x v="5"/>
    <x v="0"/>
    <x v="1"/>
    <x v="1"/>
    <x v="1"/>
    <x v="1"/>
    <x v="160"/>
    <x v="2"/>
    <x v="286"/>
  </r>
  <r>
    <x v="1"/>
    <x v="290"/>
    <x v="42"/>
    <x v="2"/>
    <x v="0"/>
    <x v="3"/>
    <x v="3"/>
    <x v="2"/>
    <x v="1"/>
    <x v="17"/>
    <x v="3"/>
    <x v="2"/>
    <x v="3"/>
    <x v="0"/>
    <x v="0"/>
    <x v="0"/>
    <x v="1"/>
    <x v="0"/>
    <x v="1"/>
    <x v="1"/>
    <x v="287"/>
  </r>
  <r>
    <x v="11"/>
    <x v="291"/>
    <x v="21"/>
    <x v="7"/>
    <x v="1"/>
    <x v="0"/>
    <x v="0"/>
    <x v="0"/>
    <x v="1"/>
    <x v="212"/>
    <x v="0"/>
    <x v="0"/>
    <x v="5"/>
    <x v="0"/>
    <x v="0"/>
    <x v="0"/>
    <x v="1"/>
    <x v="0"/>
    <x v="1"/>
    <x v="1"/>
    <x v="288"/>
  </r>
  <r>
    <x v="8"/>
    <x v="292"/>
    <x v="35"/>
    <x v="9"/>
    <x v="1"/>
    <x v="1"/>
    <x v="1"/>
    <x v="0"/>
    <x v="1"/>
    <x v="92"/>
    <x v="1"/>
    <x v="0"/>
    <x v="5"/>
    <x v="0"/>
    <x v="0"/>
    <x v="0"/>
    <x v="0"/>
    <x v="1"/>
    <x v="1"/>
    <x v="1"/>
    <x v="289"/>
  </r>
  <r>
    <x v="11"/>
    <x v="293"/>
    <x v="26"/>
    <x v="8"/>
    <x v="0"/>
    <x v="2"/>
    <x v="2"/>
    <x v="1"/>
    <x v="1"/>
    <x v="213"/>
    <x v="2"/>
    <x v="0"/>
    <x v="1"/>
    <x v="0"/>
    <x v="0"/>
    <x v="0"/>
    <x v="1"/>
    <x v="0"/>
    <x v="1"/>
    <x v="1"/>
    <x v="290"/>
  </r>
  <r>
    <x v="7"/>
    <x v="294"/>
    <x v="17"/>
    <x v="8"/>
    <x v="0"/>
    <x v="3"/>
    <x v="3"/>
    <x v="2"/>
    <x v="1"/>
    <x v="1"/>
    <x v="3"/>
    <x v="4"/>
    <x v="7"/>
    <x v="0"/>
    <x v="0"/>
    <x v="0"/>
    <x v="0"/>
    <x v="0"/>
    <x v="1"/>
    <x v="1"/>
    <x v="291"/>
  </r>
  <r>
    <x v="7"/>
    <x v="295"/>
    <x v="4"/>
    <x v="4"/>
    <x v="1"/>
    <x v="9"/>
    <x v="9"/>
    <x v="2"/>
    <x v="0"/>
    <x v="39"/>
    <x v="9"/>
    <x v="0"/>
    <x v="5"/>
    <x v="0"/>
    <x v="1"/>
    <x v="4"/>
    <x v="1"/>
    <x v="0"/>
    <x v="161"/>
    <x v="2"/>
    <x v="292"/>
  </r>
  <r>
    <x v="4"/>
    <x v="296"/>
    <x v="50"/>
    <x v="7"/>
    <x v="1"/>
    <x v="9"/>
    <x v="9"/>
    <x v="2"/>
    <x v="1"/>
    <x v="214"/>
    <x v="9"/>
    <x v="4"/>
    <x v="6"/>
    <x v="0"/>
    <x v="1"/>
    <x v="4"/>
    <x v="1"/>
    <x v="1"/>
    <x v="162"/>
    <x v="2"/>
    <x v="293"/>
  </r>
  <r>
    <x v="3"/>
    <x v="297"/>
    <x v="30"/>
    <x v="4"/>
    <x v="1"/>
    <x v="7"/>
    <x v="7"/>
    <x v="0"/>
    <x v="1"/>
    <x v="215"/>
    <x v="7"/>
    <x v="0"/>
    <x v="5"/>
    <x v="0"/>
    <x v="1"/>
    <x v="4"/>
    <x v="1"/>
    <x v="1"/>
    <x v="27"/>
    <x v="2"/>
    <x v="294"/>
  </r>
  <r>
    <x v="11"/>
    <x v="298"/>
    <x v="39"/>
    <x v="4"/>
    <x v="1"/>
    <x v="1"/>
    <x v="1"/>
    <x v="0"/>
    <x v="1"/>
    <x v="216"/>
    <x v="1"/>
    <x v="3"/>
    <x v="4"/>
    <x v="0"/>
    <x v="0"/>
    <x v="0"/>
    <x v="0"/>
    <x v="1"/>
    <x v="1"/>
    <x v="1"/>
    <x v="295"/>
  </r>
  <r>
    <x v="10"/>
    <x v="299"/>
    <x v="27"/>
    <x v="7"/>
    <x v="0"/>
    <x v="1"/>
    <x v="1"/>
    <x v="0"/>
    <x v="1"/>
    <x v="126"/>
    <x v="1"/>
    <x v="3"/>
    <x v="4"/>
    <x v="0"/>
    <x v="0"/>
    <x v="0"/>
    <x v="2"/>
    <x v="1"/>
    <x v="1"/>
    <x v="1"/>
    <x v="296"/>
  </r>
  <r>
    <x v="9"/>
    <x v="300"/>
    <x v="35"/>
    <x v="2"/>
    <x v="0"/>
    <x v="2"/>
    <x v="2"/>
    <x v="1"/>
    <x v="0"/>
    <x v="14"/>
    <x v="2"/>
    <x v="0"/>
    <x v="1"/>
    <x v="0"/>
    <x v="0"/>
    <x v="0"/>
    <x v="0"/>
    <x v="1"/>
    <x v="1"/>
    <x v="1"/>
    <x v="297"/>
  </r>
  <r>
    <x v="1"/>
    <x v="301"/>
    <x v="5"/>
    <x v="7"/>
    <x v="0"/>
    <x v="6"/>
    <x v="6"/>
    <x v="1"/>
    <x v="1"/>
    <x v="87"/>
    <x v="6"/>
    <x v="3"/>
    <x v="4"/>
    <x v="0"/>
    <x v="0"/>
    <x v="0"/>
    <x v="1"/>
    <x v="0"/>
    <x v="163"/>
    <x v="0"/>
    <x v="298"/>
  </r>
  <r>
    <x v="10"/>
    <x v="302"/>
    <x v="22"/>
    <x v="10"/>
    <x v="1"/>
    <x v="0"/>
    <x v="0"/>
    <x v="0"/>
    <x v="1"/>
    <x v="217"/>
    <x v="0"/>
    <x v="4"/>
    <x v="6"/>
    <x v="0"/>
    <x v="0"/>
    <x v="0"/>
    <x v="2"/>
    <x v="0"/>
    <x v="1"/>
    <x v="1"/>
    <x v="299"/>
  </r>
  <r>
    <x v="4"/>
    <x v="303"/>
    <x v="0"/>
    <x v="5"/>
    <x v="0"/>
    <x v="9"/>
    <x v="9"/>
    <x v="2"/>
    <x v="0"/>
    <x v="218"/>
    <x v="9"/>
    <x v="3"/>
    <x v="8"/>
    <x v="0"/>
    <x v="0"/>
    <x v="0"/>
    <x v="1"/>
    <x v="1"/>
    <x v="1"/>
    <x v="1"/>
    <x v="300"/>
  </r>
  <r>
    <x v="7"/>
    <x v="304"/>
    <x v="7"/>
    <x v="1"/>
    <x v="0"/>
    <x v="0"/>
    <x v="0"/>
    <x v="0"/>
    <x v="1"/>
    <x v="165"/>
    <x v="0"/>
    <x v="0"/>
    <x v="1"/>
    <x v="0"/>
    <x v="0"/>
    <x v="0"/>
    <x v="2"/>
    <x v="0"/>
    <x v="1"/>
    <x v="1"/>
    <x v="301"/>
  </r>
  <r>
    <x v="0"/>
    <x v="305"/>
    <x v="8"/>
    <x v="8"/>
    <x v="0"/>
    <x v="4"/>
    <x v="4"/>
    <x v="2"/>
    <x v="1"/>
    <x v="219"/>
    <x v="4"/>
    <x v="4"/>
    <x v="7"/>
    <x v="0"/>
    <x v="0"/>
    <x v="0"/>
    <x v="1"/>
    <x v="1"/>
    <x v="1"/>
    <x v="1"/>
    <x v="302"/>
  </r>
  <r>
    <x v="11"/>
    <x v="306"/>
    <x v="21"/>
    <x v="5"/>
    <x v="1"/>
    <x v="4"/>
    <x v="4"/>
    <x v="2"/>
    <x v="1"/>
    <x v="176"/>
    <x v="4"/>
    <x v="0"/>
    <x v="0"/>
    <x v="0"/>
    <x v="1"/>
    <x v="2"/>
    <x v="1"/>
    <x v="0"/>
    <x v="78"/>
    <x v="0"/>
    <x v="303"/>
  </r>
  <r>
    <x v="7"/>
    <x v="307"/>
    <x v="37"/>
    <x v="1"/>
    <x v="1"/>
    <x v="1"/>
    <x v="1"/>
    <x v="0"/>
    <x v="1"/>
    <x v="129"/>
    <x v="1"/>
    <x v="0"/>
    <x v="1"/>
    <x v="0"/>
    <x v="1"/>
    <x v="2"/>
    <x v="1"/>
    <x v="0"/>
    <x v="164"/>
    <x v="2"/>
    <x v="304"/>
  </r>
  <r>
    <x v="11"/>
    <x v="308"/>
    <x v="21"/>
    <x v="9"/>
    <x v="1"/>
    <x v="8"/>
    <x v="8"/>
    <x v="2"/>
    <x v="1"/>
    <x v="220"/>
    <x v="8"/>
    <x v="0"/>
    <x v="5"/>
    <x v="0"/>
    <x v="2"/>
    <x v="5"/>
    <x v="1"/>
    <x v="1"/>
    <x v="165"/>
    <x v="0"/>
    <x v="305"/>
  </r>
  <r>
    <x v="0"/>
    <x v="309"/>
    <x v="20"/>
    <x v="0"/>
    <x v="1"/>
    <x v="8"/>
    <x v="8"/>
    <x v="2"/>
    <x v="1"/>
    <x v="221"/>
    <x v="8"/>
    <x v="3"/>
    <x v="4"/>
    <x v="0"/>
    <x v="1"/>
    <x v="1"/>
    <x v="0"/>
    <x v="0"/>
    <x v="166"/>
    <x v="2"/>
    <x v="306"/>
  </r>
  <r>
    <x v="2"/>
    <x v="310"/>
    <x v="25"/>
    <x v="2"/>
    <x v="1"/>
    <x v="0"/>
    <x v="0"/>
    <x v="0"/>
    <x v="0"/>
    <x v="96"/>
    <x v="0"/>
    <x v="0"/>
    <x v="5"/>
    <x v="0"/>
    <x v="0"/>
    <x v="0"/>
    <x v="1"/>
    <x v="0"/>
    <x v="1"/>
    <x v="1"/>
    <x v="307"/>
  </r>
  <r>
    <x v="5"/>
    <x v="311"/>
    <x v="37"/>
    <x v="4"/>
    <x v="1"/>
    <x v="3"/>
    <x v="3"/>
    <x v="2"/>
    <x v="0"/>
    <x v="159"/>
    <x v="3"/>
    <x v="4"/>
    <x v="6"/>
    <x v="0"/>
    <x v="0"/>
    <x v="0"/>
    <x v="0"/>
    <x v="0"/>
    <x v="70"/>
    <x v="2"/>
    <x v="308"/>
  </r>
  <r>
    <x v="0"/>
    <x v="312"/>
    <x v="20"/>
    <x v="8"/>
    <x v="0"/>
    <x v="1"/>
    <x v="1"/>
    <x v="0"/>
    <x v="1"/>
    <x v="153"/>
    <x v="1"/>
    <x v="0"/>
    <x v="0"/>
    <x v="0"/>
    <x v="0"/>
    <x v="0"/>
    <x v="2"/>
    <x v="0"/>
    <x v="1"/>
    <x v="1"/>
    <x v="309"/>
  </r>
  <r>
    <x v="11"/>
    <x v="313"/>
    <x v="1"/>
    <x v="6"/>
    <x v="1"/>
    <x v="0"/>
    <x v="0"/>
    <x v="0"/>
    <x v="1"/>
    <x v="147"/>
    <x v="0"/>
    <x v="2"/>
    <x v="3"/>
    <x v="0"/>
    <x v="0"/>
    <x v="0"/>
    <x v="0"/>
    <x v="0"/>
    <x v="1"/>
    <x v="1"/>
    <x v="27"/>
  </r>
  <r>
    <x v="6"/>
    <x v="314"/>
    <x v="7"/>
    <x v="8"/>
    <x v="0"/>
    <x v="0"/>
    <x v="0"/>
    <x v="0"/>
    <x v="1"/>
    <x v="222"/>
    <x v="0"/>
    <x v="0"/>
    <x v="5"/>
    <x v="0"/>
    <x v="0"/>
    <x v="0"/>
    <x v="0"/>
    <x v="1"/>
    <x v="1"/>
    <x v="1"/>
    <x v="136"/>
  </r>
  <r>
    <x v="2"/>
    <x v="315"/>
    <x v="45"/>
    <x v="8"/>
    <x v="1"/>
    <x v="9"/>
    <x v="9"/>
    <x v="2"/>
    <x v="1"/>
    <x v="223"/>
    <x v="9"/>
    <x v="4"/>
    <x v="6"/>
    <x v="0"/>
    <x v="0"/>
    <x v="0"/>
    <x v="2"/>
    <x v="1"/>
    <x v="1"/>
    <x v="1"/>
    <x v="310"/>
  </r>
  <r>
    <x v="5"/>
    <x v="316"/>
    <x v="24"/>
    <x v="6"/>
    <x v="0"/>
    <x v="4"/>
    <x v="4"/>
    <x v="2"/>
    <x v="1"/>
    <x v="224"/>
    <x v="4"/>
    <x v="2"/>
    <x v="9"/>
    <x v="0"/>
    <x v="0"/>
    <x v="0"/>
    <x v="0"/>
    <x v="0"/>
    <x v="1"/>
    <x v="1"/>
    <x v="311"/>
  </r>
  <r>
    <x v="5"/>
    <x v="317"/>
    <x v="3"/>
    <x v="11"/>
    <x v="1"/>
    <x v="9"/>
    <x v="9"/>
    <x v="2"/>
    <x v="1"/>
    <x v="85"/>
    <x v="9"/>
    <x v="0"/>
    <x v="5"/>
    <x v="0"/>
    <x v="0"/>
    <x v="0"/>
    <x v="1"/>
    <x v="1"/>
    <x v="167"/>
    <x v="0"/>
    <x v="312"/>
  </r>
  <r>
    <x v="8"/>
    <x v="318"/>
    <x v="0"/>
    <x v="5"/>
    <x v="1"/>
    <x v="7"/>
    <x v="7"/>
    <x v="0"/>
    <x v="1"/>
    <x v="225"/>
    <x v="7"/>
    <x v="0"/>
    <x v="0"/>
    <x v="0"/>
    <x v="1"/>
    <x v="3"/>
    <x v="1"/>
    <x v="0"/>
    <x v="75"/>
    <x v="2"/>
    <x v="313"/>
  </r>
  <r>
    <x v="1"/>
    <x v="319"/>
    <x v="49"/>
    <x v="0"/>
    <x v="0"/>
    <x v="5"/>
    <x v="5"/>
    <x v="2"/>
    <x v="1"/>
    <x v="226"/>
    <x v="5"/>
    <x v="3"/>
    <x v="4"/>
    <x v="0"/>
    <x v="1"/>
    <x v="4"/>
    <x v="0"/>
    <x v="0"/>
    <x v="1"/>
    <x v="1"/>
    <x v="314"/>
  </r>
  <r>
    <x v="11"/>
    <x v="320"/>
    <x v="26"/>
    <x v="4"/>
    <x v="0"/>
    <x v="4"/>
    <x v="4"/>
    <x v="2"/>
    <x v="1"/>
    <x v="112"/>
    <x v="4"/>
    <x v="5"/>
    <x v="2"/>
    <x v="1"/>
    <x v="1"/>
    <x v="1"/>
    <x v="0"/>
    <x v="0"/>
    <x v="168"/>
    <x v="0"/>
    <x v="315"/>
  </r>
  <r>
    <x v="0"/>
    <x v="321"/>
    <x v="45"/>
    <x v="4"/>
    <x v="1"/>
    <x v="1"/>
    <x v="1"/>
    <x v="0"/>
    <x v="1"/>
    <x v="225"/>
    <x v="1"/>
    <x v="5"/>
    <x v="2"/>
    <x v="1"/>
    <x v="1"/>
    <x v="2"/>
    <x v="1"/>
    <x v="1"/>
    <x v="168"/>
    <x v="0"/>
    <x v="316"/>
  </r>
  <r>
    <x v="2"/>
    <x v="322"/>
    <x v="6"/>
    <x v="1"/>
    <x v="1"/>
    <x v="0"/>
    <x v="0"/>
    <x v="0"/>
    <x v="1"/>
    <x v="89"/>
    <x v="0"/>
    <x v="0"/>
    <x v="0"/>
    <x v="0"/>
    <x v="0"/>
    <x v="0"/>
    <x v="0"/>
    <x v="0"/>
    <x v="1"/>
    <x v="1"/>
    <x v="317"/>
  </r>
  <r>
    <x v="4"/>
    <x v="323"/>
    <x v="10"/>
    <x v="4"/>
    <x v="0"/>
    <x v="2"/>
    <x v="2"/>
    <x v="1"/>
    <x v="0"/>
    <x v="12"/>
    <x v="2"/>
    <x v="2"/>
    <x v="9"/>
    <x v="0"/>
    <x v="0"/>
    <x v="0"/>
    <x v="0"/>
    <x v="1"/>
    <x v="1"/>
    <x v="1"/>
    <x v="318"/>
  </r>
  <r>
    <x v="8"/>
    <x v="324"/>
    <x v="28"/>
    <x v="8"/>
    <x v="0"/>
    <x v="2"/>
    <x v="2"/>
    <x v="1"/>
    <x v="1"/>
    <x v="227"/>
    <x v="2"/>
    <x v="0"/>
    <x v="0"/>
    <x v="0"/>
    <x v="1"/>
    <x v="4"/>
    <x v="0"/>
    <x v="1"/>
    <x v="169"/>
    <x v="2"/>
    <x v="319"/>
  </r>
  <r>
    <x v="6"/>
    <x v="325"/>
    <x v="50"/>
    <x v="2"/>
    <x v="1"/>
    <x v="1"/>
    <x v="1"/>
    <x v="0"/>
    <x v="0"/>
    <x v="30"/>
    <x v="1"/>
    <x v="0"/>
    <x v="0"/>
    <x v="0"/>
    <x v="0"/>
    <x v="0"/>
    <x v="1"/>
    <x v="1"/>
    <x v="1"/>
    <x v="1"/>
    <x v="320"/>
  </r>
  <r>
    <x v="6"/>
    <x v="326"/>
    <x v="21"/>
    <x v="8"/>
    <x v="1"/>
    <x v="7"/>
    <x v="7"/>
    <x v="0"/>
    <x v="1"/>
    <x v="132"/>
    <x v="7"/>
    <x v="4"/>
    <x v="7"/>
    <x v="0"/>
    <x v="0"/>
    <x v="0"/>
    <x v="0"/>
    <x v="0"/>
    <x v="1"/>
    <x v="1"/>
    <x v="321"/>
  </r>
  <r>
    <x v="10"/>
    <x v="327"/>
    <x v="42"/>
    <x v="6"/>
    <x v="1"/>
    <x v="8"/>
    <x v="8"/>
    <x v="2"/>
    <x v="0"/>
    <x v="228"/>
    <x v="8"/>
    <x v="3"/>
    <x v="4"/>
    <x v="0"/>
    <x v="0"/>
    <x v="0"/>
    <x v="0"/>
    <x v="0"/>
    <x v="1"/>
    <x v="1"/>
    <x v="322"/>
  </r>
  <r>
    <x v="0"/>
    <x v="328"/>
    <x v="45"/>
    <x v="13"/>
    <x v="0"/>
    <x v="3"/>
    <x v="3"/>
    <x v="2"/>
    <x v="1"/>
    <x v="176"/>
    <x v="3"/>
    <x v="3"/>
    <x v="8"/>
    <x v="0"/>
    <x v="2"/>
    <x v="5"/>
    <x v="1"/>
    <x v="1"/>
    <x v="114"/>
    <x v="2"/>
    <x v="323"/>
  </r>
  <r>
    <x v="7"/>
    <x v="329"/>
    <x v="6"/>
    <x v="5"/>
    <x v="1"/>
    <x v="1"/>
    <x v="1"/>
    <x v="0"/>
    <x v="1"/>
    <x v="181"/>
    <x v="1"/>
    <x v="2"/>
    <x v="3"/>
    <x v="0"/>
    <x v="1"/>
    <x v="3"/>
    <x v="1"/>
    <x v="0"/>
    <x v="170"/>
    <x v="0"/>
    <x v="324"/>
  </r>
  <r>
    <x v="7"/>
    <x v="330"/>
    <x v="1"/>
    <x v="13"/>
    <x v="1"/>
    <x v="8"/>
    <x v="8"/>
    <x v="2"/>
    <x v="0"/>
    <x v="229"/>
    <x v="8"/>
    <x v="0"/>
    <x v="0"/>
    <x v="0"/>
    <x v="0"/>
    <x v="0"/>
    <x v="0"/>
    <x v="1"/>
    <x v="140"/>
    <x v="0"/>
    <x v="325"/>
  </r>
  <r>
    <x v="9"/>
    <x v="331"/>
    <x v="0"/>
    <x v="8"/>
    <x v="0"/>
    <x v="7"/>
    <x v="7"/>
    <x v="0"/>
    <x v="1"/>
    <x v="230"/>
    <x v="7"/>
    <x v="4"/>
    <x v="6"/>
    <x v="0"/>
    <x v="1"/>
    <x v="6"/>
    <x v="0"/>
    <x v="0"/>
    <x v="171"/>
    <x v="0"/>
    <x v="326"/>
  </r>
  <r>
    <x v="11"/>
    <x v="332"/>
    <x v="35"/>
    <x v="11"/>
    <x v="1"/>
    <x v="7"/>
    <x v="7"/>
    <x v="0"/>
    <x v="1"/>
    <x v="231"/>
    <x v="7"/>
    <x v="0"/>
    <x v="0"/>
    <x v="0"/>
    <x v="0"/>
    <x v="0"/>
    <x v="2"/>
    <x v="1"/>
    <x v="1"/>
    <x v="1"/>
    <x v="327"/>
  </r>
  <r>
    <x v="1"/>
    <x v="333"/>
    <x v="36"/>
    <x v="4"/>
    <x v="1"/>
    <x v="3"/>
    <x v="3"/>
    <x v="2"/>
    <x v="1"/>
    <x v="116"/>
    <x v="3"/>
    <x v="0"/>
    <x v="0"/>
    <x v="0"/>
    <x v="0"/>
    <x v="0"/>
    <x v="1"/>
    <x v="0"/>
    <x v="172"/>
    <x v="2"/>
    <x v="328"/>
  </r>
  <r>
    <x v="3"/>
    <x v="334"/>
    <x v="22"/>
    <x v="1"/>
    <x v="1"/>
    <x v="1"/>
    <x v="1"/>
    <x v="0"/>
    <x v="1"/>
    <x v="126"/>
    <x v="1"/>
    <x v="0"/>
    <x v="5"/>
    <x v="0"/>
    <x v="0"/>
    <x v="0"/>
    <x v="1"/>
    <x v="0"/>
    <x v="1"/>
    <x v="1"/>
    <x v="329"/>
  </r>
  <r>
    <x v="1"/>
    <x v="335"/>
    <x v="22"/>
    <x v="7"/>
    <x v="1"/>
    <x v="1"/>
    <x v="1"/>
    <x v="0"/>
    <x v="1"/>
    <x v="43"/>
    <x v="1"/>
    <x v="5"/>
    <x v="2"/>
    <x v="1"/>
    <x v="0"/>
    <x v="0"/>
    <x v="1"/>
    <x v="0"/>
    <x v="1"/>
    <x v="1"/>
    <x v="330"/>
  </r>
  <r>
    <x v="8"/>
    <x v="336"/>
    <x v="3"/>
    <x v="0"/>
    <x v="1"/>
    <x v="1"/>
    <x v="1"/>
    <x v="0"/>
    <x v="1"/>
    <x v="232"/>
    <x v="1"/>
    <x v="3"/>
    <x v="4"/>
    <x v="0"/>
    <x v="1"/>
    <x v="1"/>
    <x v="0"/>
    <x v="1"/>
    <x v="82"/>
    <x v="0"/>
    <x v="331"/>
  </r>
  <r>
    <x v="11"/>
    <x v="337"/>
    <x v="36"/>
    <x v="8"/>
    <x v="1"/>
    <x v="4"/>
    <x v="4"/>
    <x v="2"/>
    <x v="0"/>
    <x v="233"/>
    <x v="4"/>
    <x v="0"/>
    <x v="1"/>
    <x v="0"/>
    <x v="0"/>
    <x v="0"/>
    <x v="2"/>
    <x v="0"/>
    <x v="1"/>
    <x v="1"/>
    <x v="332"/>
  </r>
  <r>
    <x v="6"/>
    <x v="338"/>
    <x v="1"/>
    <x v="13"/>
    <x v="0"/>
    <x v="7"/>
    <x v="7"/>
    <x v="0"/>
    <x v="1"/>
    <x v="150"/>
    <x v="7"/>
    <x v="4"/>
    <x v="6"/>
    <x v="0"/>
    <x v="1"/>
    <x v="1"/>
    <x v="2"/>
    <x v="0"/>
    <x v="173"/>
    <x v="0"/>
    <x v="333"/>
  </r>
  <r>
    <x v="8"/>
    <x v="339"/>
    <x v="24"/>
    <x v="4"/>
    <x v="0"/>
    <x v="0"/>
    <x v="0"/>
    <x v="0"/>
    <x v="1"/>
    <x v="234"/>
    <x v="0"/>
    <x v="5"/>
    <x v="2"/>
    <x v="1"/>
    <x v="0"/>
    <x v="0"/>
    <x v="2"/>
    <x v="0"/>
    <x v="115"/>
    <x v="0"/>
    <x v="307"/>
  </r>
  <r>
    <x v="2"/>
    <x v="340"/>
    <x v="48"/>
    <x v="6"/>
    <x v="1"/>
    <x v="3"/>
    <x v="3"/>
    <x v="2"/>
    <x v="1"/>
    <x v="234"/>
    <x v="3"/>
    <x v="1"/>
    <x v="2"/>
    <x v="1"/>
    <x v="1"/>
    <x v="3"/>
    <x v="0"/>
    <x v="0"/>
    <x v="174"/>
    <x v="0"/>
    <x v="334"/>
  </r>
  <r>
    <x v="11"/>
    <x v="341"/>
    <x v="2"/>
    <x v="4"/>
    <x v="1"/>
    <x v="7"/>
    <x v="7"/>
    <x v="0"/>
    <x v="0"/>
    <x v="29"/>
    <x v="7"/>
    <x v="3"/>
    <x v="4"/>
    <x v="0"/>
    <x v="1"/>
    <x v="2"/>
    <x v="0"/>
    <x v="0"/>
    <x v="117"/>
    <x v="0"/>
    <x v="335"/>
  </r>
  <r>
    <x v="2"/>
    <x v="342"/>
    <x v="22"/>
    <x v="7"/>
    <x v="1"/>
    <x v="7"/>
    <x v="7"/>
    <x v="0"/>
    <x v="1"/>
    <x v="78"/>
    <x v="7"/>
    <x v="0"/>
    <x v="0"/>
    <x v="0"/>
    <x v="1"/>
    <x v="4"/>
    <x v="0"/>
    <x v="1"/>
    <x v="175"/>
    <x v="2"/>
    <x v="336"/>
  </r>
  <r>
    <x v="7"/>
    <x v="343"/>
    <x v="28"/>
    <x v="8"/>
    <x v="0"/>
    <x v="4"/>
    <x v="4"/>
    <x v="2"/>
    <x v="1"/>
    <x v="118"/>
    <x v="4"/>
    <x v="4"/>
    <x v="6"/>
    <x v="0"/>
    <x v="1"/>
    <x v="1"/>
    <x v="0"/>
    <x v="0"/>
    <x v="86"/>
    <x v="2"/>
    <x v="337"/>
  </r>
  <r>
    <x v="4"/>
    <x v="344"/>
    <x v="46"/>
    <x v="7"/>
    <x v="1"/>
    <x v="8"/>
    <x v="8"/>
    <x v="2"/>
    <x v="1"/>
    <x v="7"/>
    <x v="8"/>
    <x v="2"/>
    <x v="9"/>
    <x v="0"/>
    <x v="2"/>
    <x v="5"/>
    <x v="0"/>
    <x v="1"/>
    <x v="1"/>
    <x v="1"/>
    <x v="338"/>
  </r>
  <r>
    <x v="11"/>
    <x v="345"/>
    <x v="35"/>
    <x v="4"/>
    <x v="0"/>
    <x v="9"/>
    <x v="9"/>
    <x v="2"/>
    <x v="1"/>
    <x v="208"/>
    <x v="9"/>
    <x v="1"/>
    <x v="2"/>
    <x v="1"/>
    <x v="0"/>
    <x v="0"/>
    <x v="1"/>
    <x v="0"/>
    <x v="1"/>
    <x v="1"/>
    <x v="339"/>
  </r>
  <r>
    <x v="8"/>
    <x v="346"/>
    <x v="21"/>
    <x v="0"/>
    <x v="1"/>
    <x v="8"/>
    <x v="8"/>
    <x v="2"/>
    <x v="1"/>
    <x v="235"/>
    <x v="8"/>
    <x v="2"/>
    <x v="3"/>
    <x v="0"/>
    <x v="1"/>
    <x v="1"/>
    <x v="0"/>
    <x v="1"/>
    <x v="176"/>
    <x v="2"/>
    <x v="340"/>
  </r>
  <r>
    <x v="8"/>
    <x v="347"/>
    <x v="28"/>
    <x v="11"/>
    <x v="0"/>
    <x v="0"/>
    <x v="0"/>
    <x v="0"/>
    <x v="1"/>
    <x v="236"/>
    <x v="0"/>
    <x v="3"/>
    <x v="4"/>
    <x v="0"/>
    <x v="1"/>
    <x v="2"/>
    <x v="2"/>
    <x v="1"/>
    <x v="177"/>
    <x v="2"/>
    <x v="341"/>
  </r>
  <r>
    <x v="6"/>
    <x v="348"/>
    <x v="40"/>
    <x v="4"/>
    <x v="1"/>
    <x v="1"/>
    <x v="1"/>
    <x v="0"/>
    <x v="1"/>
    <x v="237"/>
    <x v="1"/>
    <x v="0"/>
    <x v="5"/>
    <x v="0"/>
    <x v="0"/>
    <x v="0"/>
    <x v="0"/>
    <x v="0"/>
    <x v="1"/>
    <x v="1"/>
    <x v="342"/>
  </r>
  <r>
    <x v="0"/>
    <x v="349"/>
    <x v="20"/>
    <x v="4"/>
    <x v="0"/>
    <x v="7"/>
    <x v="7"/>
    <x v="0"/>
    <x v="1"/>
    <x v="238"/>
    <x v="7"/>
    <x v="3"/>
    <x v="4"/>
    <x v="0"/>
    <x v="0"/>
    <x v="0"/>
    <x v="0"/>
    <x v="0"/>
    <x v="1"/>
    <x v="1"/>
    <x v="343"/>
  </r>
  <r>
    <x v="7"/>
    <x v="350"/>
    <x v="7"/>
    <x v="4"/>
    <x v="1"/>
    <x v="7"/>
    <x v="7"/>
    <x v="0"/>
    <x v="1"/>
    <x v="95"/>
    <x v="7"/>
    <x v="0"/>
    <x v="1"/>
    <x v="0"/>
    <x v="0"/>
    <x v="0"/>
    <x v="2"/>
    <x v="0"/>
    <x v="1"/>
    <x v="1"/>
    <x v="344"/>
  </r>
  <r>
    <x v="10"/>
    <x v="351"/>
    <x v="38"/>
    <x v="0"/>
    <x v="0"/>
    <x v="7"/>
    <x v="7"/>
    <x v="0"/>
    <x v="1"/>
    <x v="239"/>
    <x v="7"/>
    <x v="0"/>
    <x v="5"/>
    <x v="0"/>
    <x v="0"/>
    <x v="0"/>
    <x v="1"/>
    <x v="0"/>
    <x v="1"/>
    <x v="1"/>
    <x v="178"/>
  </r>
  <r>
    <x v="11"/>
    <x v="352"/>
    <x v="12"/>
    <x v="8"/>
    <x v="1"/>
    <x v="3"/>
    <x v="3"/>
    <x v="2"/>
    <x v="1"/>
    <x v="240"/>
    <x v="3"/>
    <x v="3"/>
    <x v="4"/>
    <x v="0"/>
    <x v="0"/>
    <x v="0"/>
    <x v="1"/>
    <x v="1"/>
    <x v="1"/>
    <x v="1"/>
    <x v="345"/>
  </r>
  <r>
    <x v="3"/>
    <x v="353"/>
    <x v="18"/>
    <x v="12"/>
    <x v="0"/>
    <x v="4"/>
    <x v="4"/>
    <x v="2"/>
    <x v="1"/>
    <x v="221"/>
    <x v="4"/>
    <x v="4"/>
    <x v="7"/>
    <x v="0"/>
    <x v="0"/>
    <x v="0"/>
    <x v="1"/>
    <x v="1"/>
    <x v="1"/>
    <x v="1"/>
    <x v="346"/>
  </r>
  <r>
    <x v="8"/>
    <x v="354"/>
    <x v="9"/>
    <x v="1"/>
    <x v="0"/>
    <x v="1"/>
    <x v="1"/>
    <x v="0"/>
    <x v="1"/>
    <x v="73"/>
    <x v="1"/>
    <x v="1"/>
    <x v="2"/>
    <x v="1"/>
    <x v="1"/>
    <x v="1"/>
    <x v="0"/>
    <x v="1"/>
    <x v="178"/>
    <x v="0"/>
    <x v="347"/>
  </r>
  <r>
    <x v="8"/>
    <x v="355"/>
    <x v="47"/>
    <x v="11"/>
    <x v="0"/>
    <x v="5"/>
    <x v="5"/>
    <x v="2"/>
    <x v="1"/>
    <x v="117"/>
    <x v="5"/>
    <x v="2"/>
    <x v="3"/>
    <x v="0"/>
    <x v="0"/>
    <x v="0"/>
    <x v="0"/>
    <x v="0"/>
    <x v="1"/>
    <x v="1"/>
    <x v="348"/>
  </r>
  <r>
    <x v="0"/>
    <x v="356"/>
    <x v="2"/>
    <x v="5"/>
    <x v="1"/>
    <x v="1"/>
    <x v="1"/>
    <x v="0"/>
    <x v="1"/>
    <x v="231"/>
    <x v="1"/>
    <x v="1"/>
    <x v="2"/>
    <x v="1"/>
    <x v="1"/>
    <x v="4"/>
    <x v="1"/>
    <x v="0"/>
    <x v="179"/>
    <x v="2"/>
    <x v="349"/>
  </r>
  <r>
    <x v="4"/>
    <x v="357"/>
    <x v="39"/>
    <x v="5"/>
    <x v="1"/>
    <x v="7"/>
    <x v="7"/>
    <x v="0"/>
    <x v="1"/>
    <x v="159"/>
    <x v="7"/>
    <x v="2"/>
    <x v="3"/>
    <x v="0"/>
    <x v="0"/>
    <x v="0"/>
    <x v="1"/>
    <x v="0"/>
    <x v="1"/>
    <x v="1"/>
    <x v="350"/>
  </r>
  <r>
    <x v="0"/>
    <x v="358"/>
    <x v="10"/>
    <x v="2"/>
    <x v="1"/>
    <x v="1"/>
    <x v="1"/>
    <x v="0"/>
    <x v="1"/>
    <x v="73"/>
    <x v="1"/>
    <x v="4"/>
    <x v="7"/>
    <x v="0"/>
    <x v="1"/>
    <x v="2"/>
    <x v="1"/>
    <x v="0"/>
    <x v="180"/>
    <x v="0"/>
    <x v="351"/>
  </r>
  <r>
    <x v="5"/>
    <x v="359"/>
    <x v="39"/>
    <x v="6"/>
    <x v="1"/>
    <x v="7"/>
    <x v="7"/>
    <x v="0"/>
    <x v="1"/>
    <x v="218"/>
    <x v="7"/>
    <x v="0"/>
    <x v="5"/>
    <x v="0"/>
    <x v="0"/>
    <x v="0"/>
    <x v="0"/>
    <x v="1"/>
    <x v="181"/>
    <x v="0"/>
    <x v="300"/>
  </r>
  <r>
    <x v="4"/>
    <x v="360"/>
    <x v="10"/>
    <x v="11"/>
    <x v="1"/>
    <x v="7"/>
    <x v="7"/>
    <x v="0"/>
    <x v="1"/>
    <x v="116"/>
    <x v="7"/>
    <x v="4"/>
    <x v="7"/>
    <x v="0"/>
    <x v="0"/>
    <x v="0"/>
    <x v="1"/>
    <x v="0"/>
    <x v="182"/>
    <x v="2"/>
    <x v="352"/>
  </r>
  <r>
    <x v="4"/>
    <x v="361"/>
    <x v="28"/>
    <x v="4"/>
    <x v="0"/>
    <x v="6"/>
    <x v="6"/>
    <x v="1"/>
    <x v="1"/>
    <x v="112"/>
    <x v="6"/>
    <x v="0"/>
    <x v="1"/>
    <x v="0"/>
    <x v="0"/>
    <x v="0"/>
    <x v="1"/>
    <x v="0"/>
    <x v="1"/>
    <x v="1"/>
    <x v="353"/>
  </r>
  <r>
    <x v="6"/>
    <x v="362"/>
    <x v="29"/>
    <x v="10"/>
    <x v="0"/>
    <x v="4"/>
    <x v="4"/>
    <x v="2"/>
    <x v="1"/>
    <x v="241"/>
    <x v="4"/>
    <x v="0"/>
    <x v="5"/>
    <x v="0"/>
    <x v="1"/>
    <x v="3"/>
    <x v="0"/>
    <x v="0"/>
    <x v="183"/>
    <x v="2"/>
    <x v="354"/>
  </r>
  <r>
    <x v="4"/>
    <x v="363"/>
    <x v="5"/>
    <x v="0"/>
    <x v="1"/>
    <x v="0"/>
    <x v="0"/>
    <x v="0"/>
    <x v="1"/>
    <x v="242"/>
    <x v="0"/>
    <x v="0"/>
    <x v="1"/>
    <x v="0"/>
    <x v="0"/>
    <x v="0"/>
    <x v="0"/>
    <x v="1"/>
    <x v="1"/>
    <x v="1"/>
    <x v="355"/>
  </r>
  <r>
    <x v="0"/>
    <x v="364"/>
    <x v="32"/>
    <x v="7"/>
    <x v="0"/>
    <x v="7"/>
    <x v="7"/>
    <x v="0"/>
    <x v="1"/>
    <x v="70"/>
    <x v="7"/>
    <x v="2"/>
    <x v="9"/>
    <x v="0"/>
    <x v="2"/>
    <x v="5"/>
    <x v="1"/>
    <x v="1"/>
    <x v="163"/>
    <x v="0"/>
    <x v="356"/>
  </r>
  <r>
    <x v="7"/>
    <x v="365"/>
    <x v="24"/>
    <x v="7"/>
    <x v="0"/>
    <x v="0"/>
    <x v="0"/>
    <x v="0"/>
    <x v="1"/>
    <x v="243"/>
    <x v="0"/>
    <x v="2"/>
    <x v="9"/>
    <x v="0"/>
    <x v="0"/>
    <x v="0"/>
    <x v="1"/>
    <x v="0"/>
    <x v="1"/>
    <x v="1"/>
    <x v="357"/>
  </r>
  <r>
    <x v="3"/>
    <x v="366"/>
    <x v="21"/>
    <x v="8"/>
    <x v="0"/>
    <x v="7"/>
    <x v="7"/>
    <x v="0"/>
    <x v="1"/>
    <x v="158"/>
    <x v="7"/>
    <x v="5"/>
    <x v="2"/>
    <x v="1"/>
    <x v="0"/>
    <x v="0"/>
    <x v="1"/>
    <x v="1"/>
    <x v="1"/>
    <x v="1"/>
    <x v="358"/>
  </r>
  <r>
    <x v="11"/>
    <x v="367"/>
    <x v="23"/>
    <x v="1"/>
    <x v="1"/>
    <x v="9"/>
    <x v="9"/>
    <x v="2"/>
    <x v="1"/>
    <x v="244"/>
    <x v="9"/>
    <x v="5"/>
    <x v="2"/>
    <x v="1"/>
    <x v="0"/>
    <x v="0"/>
    <x v="1"/>
    <x v="0"/>
    <x v="184"/>
    <x v="2"/>
    <x v="359"/>
  </r>
  <r>
    <x v="10"/>
    <x v="368"/>
    <x v="50"/>
    <x v="8"/>
    <x v="1"/>
    <x v="5"/>
    <x v="5"/>
    <x v="2"/>
    <x v="1"/>
    <x v="78"/>
    <x v="5"/>
    <x v="1"/>
    <x v="2"/>
    <x v="1"/>
    <x v="1"/>
    <x v="4"/>
    <x v="1"/>
    <x v="1"/>
    <x v="1"/>
    <x v="1"/>
    <x v="360"/>
  </r>
  <r>
    <x v="1"/>
    <x v="369"/>
    <x v="15"/>
    <x v="5"/>
    <x v="0"/>
    <x v="0"/>
    <x v="0"/>
    <x v="0"/>
    <x v="1"/>
    <x v="245"/>
    <x v="0"/>
    <x v="0"/>
    <x v="1"/>
    <x v="0"/>
    <x v="0"/>
    <x v="0"/>
    <x v="0"/>
    <x v="0"/>
    <x v="185"/>
    <x v="2"/>
    <x v="361"/>
  </r>
  <r>
    <x v="9"/>
    <x v="370"/>
    <x v="1"/>
    <x v="10"/>
    <x v="1"/>
    <x v="9"/>
    <x v="9"/>
    <x v="2"/>
    <x v="0"/>
    <x v="246"/>
    <x v="9"/>
    <x v="1"/>
    <x v="2"/>
    <x v="1"/>
    <x v="0"/>
    <x v="0"/>
    <x v="1"/>
    <x v="0"/>
    <x v="1"/>
    <x v="1"/>
    <x v="362"/>
  </r>
  <r>
    <x v="2"/>
    <x v="371"/>
    <x v="8"/>
    <x v="8"/>
    <x v="1"/>
    <x v="7"/>
    <x v="7"/>
    <x v="0"/>
    <x v="1"/>
    <x v="195"/>
    <x v="7"/>
    <x v="2"/>
    <x v="3"/>
    <x v="0"/>
    <x v="0"/>
    <x v="0"/>
    <x v="0"/>
    <x v="0"/>
    <x v="1"/>
    <x v="1"/>
    <x v="363"/>
  </r>
  <r>
    <x v="9"/>
    <x v="0"/>
    <x v="1"/>
    <x v="8"/>
    <x v="0"/>
    <x v="0"/>
    <x v="0"/>
    <x v="0"/>
    <x v="0"/>
    <x v="247"/>
    <x v="0"/>
    <x v="1"/>
    <x v="2"/>
    <x v="1"/>
    <x v="0"/>
    <x v="0"/>
    <x v="1"/>
    <x v="1"/>
    <x v="1"/>
    <x v="1"/>
    <x v="364"/>
  </r>
  <r>
    <x v="9"/>
    <x v="372"/>
    <x v="2"/>
    <x v="8"/>
    <x v="0"/>
    <x v="4"/>
    <x v="4"/>
    <x v="2"/>
    <x v="1"/>
    <x v="248"/>
    <x v="4"/>
    <x v="0"/>
    <x v="0"/>
    <x v="0"/>
    <x v="0"/>
    <x v="0"/>
    <x v="0"/>
    <x v="1"/>
    <x v="1"/>
    <x v="1"/>
    <x v="365"/>
  </r>
  <r>
    <x v="4"/>
    <x v="373"/>
    <x v="12"/>
    <x v="8"/>
    <x v="0"/>
    <x v="0"/>
    <x v="0"/>
    <x v="0"/>
    <x v="1"/>
    <x v="249"/>
    <x v="0"/>
    <x v="0"/>
    <x v="1"/>
    <x v="0"/>
    <x v="2"/>
    <x v="5"/>
    <x v="0"/>
    <x v="1"/>
    <x v="147"/>
    <x v="0"/>
    <x v="366"/>
  </r>
  <r>
    <x v="0"/>
    <x v="374"/>
    <x v="29"/>
    <x v="4"/>
    <x v="0"/>
    <x v="8"/>
    <x v="8"/>
    <x v="2"/>
    <x v="1"/>
    <x v="208"/>
    <x v="8"/>
    <x v="1"/>
    <x v="2"/>
    <x v="1"/>
    <x v="0"/>
    <x v="0"/>
    <x v="1"/>
    <x v="0"/>
    <x v="10"/>
    <x v="2"/>
    <x v="367"/>
  </r>
  <r>
    <x v="5"/>
    <x v="375"/>
    <x v="0"/>
    <x v="0"/>
    <x v="1"/>
    <x v="4"/>
    <x v="4"/>
    <x v="2"/>
    <x v="1"/>
    <x v="46"/>
    <x v="4"/>
    <x v="0"/>
    <x v="0"/>
    <x v="0"/>
    <x v="0"/>
    <x v="0"/>
    <x v="1"/>
    <x v="1"/>
    <x v="186"/>
    <x v="2"/>
    <x v="368"/>
  </r>
  <r>
    <x v="5"/>
    <x v="376"/>
    <x v="5"/>
    <x v="9"/>
    <x v="1"/>
    <x v="7"/>
    <x v="7"/>
    <x v="0"/>
    <x v="0"/>
    <x v="250"/>
    <x v="7"/>
    <x v="0"/>
    <x v="0"/>
    <x v="0"/>
    <x v="2"/>
    <x v="5"/>
    <x v="1"/>
    <x v="0"/>
    <x v="152"/>
    <x v="2"/>
    <x v="369"/>
  </r>
  <r>
    <x v="9"/>
    <x v="377"/>
    <x v="29"/>
    <x v="4"/>
    <x v="1"/>
    <x v="6"/>
    <x v="6"/>
    <x v="1"/>
    <x v="1"/>
    <x v="251"/>
    <x v="6"/>
    <x v="3"/>
    <x v="8"/>
    <x v="0"/>
    <x v="0"/>
    <x v="0"/>
    <x v="1"/>
    <x v="1"/>
    <x v="187"/>
    <x v="2"/>
    <x v="370"/>
  </r>
  <r>
    <x v="11"/>
    <x v="378"/>
    <x v="10"/>
    <x v="7"/>
    <x v="1"/>
    <x v="0"/>
    <x v="0"/>
    <x v="0"/>
    <x v="0"/>
    <x v="80"/>
    <x v="0"/>
    <x v="0"/>
    <x v="1"/>
    <x v="0"/>
    <x v="0"/>
    <x v="0"/>
    <x v="2"/>
    <x v="1"/>
    <x v="1"/>
    <x v="1"/>
    <x v="371"/>
  </r>
  <r>
    <x v="10"/>
    <x v="379"/>
    <x v="23"/>
    <x v="0"/>
    <x v="1"/>
    <x v="8"/>
    <x v="8"/>
    <x v="2"/>
    <x v="1"/>
    <x v="252"/>
    <x v="8"/>
    <x v="0"/>
    <x v="0"/>
    <x v="0"/>
    <x v="1"/>
    <x v="2"/>
    <x v="2"/>
    <x v="0"/>
    <x v="188"/>
    <x v="0"/>
    <x v="372"/>
  </r>
  <r>
    <x v="8"/>
    <x v="59"/>
    <x v="3"/>
    <x v="8"/>
    <x v="0"/>
    <x v="0"/>
    <x v="0"/>
    <x v="0"/>
    <x v="0"/>
    <x v="253"/>
    <x v="0"/>
    <x v="5"/>
    <x v="2"/>
    <x v="1"/>
    <x v="2"/>
    <x v="5"/>
    <x v="2"/>
    <x v="0"/>
    <x v="40"/>
    <x v="2"/>
    <x v="373"/>
  </r>
  <r>
    <x v="8"/>
    <x v="380"/>
    <x v="27"/>
    <x v="6"/>
    <x v="1"/>
    <x v="9"/>
    <x v="9"/>
    <x v="2"/>
    <x v="0"/>
    <x v="112"/>
    <x v="9"/>
    <x v="1"/>
    <x v="2"/>
    <x v="1"/>
    <x v="1"/>
    <x v="7"/>
    <x v="1"/>
    <x v="0"/>
    <x v="189"/>
    <x v="0"/>
    <x v="374"/>
  </r>
  <r>
    <x v="6"/>
    <x v="381"/>
    <x v="2"/>
    <x v="4"/>
    <x v="0"/>
    <x v="4"/>
    <x v="4"/>
    <x v="2"/>
    <x v="1"/>
    <x v="248"/>
    <x v="4"/>
    <x v="1"/>
    <x v="2"/>
    <x v="1"/>
    <x v="0"/>
    <x v="0"/>
    <x v="1"/>
    <x v="0"/>
    <x v="190"/>
    <x v="2"/>
    <x v="375"/>
  </r>
  <r>
    <x v="10"/>
    <x v="382"/>
    <x v="31"/>
    <x v="4"/>
    <x v="1"/>
    <x v="9"/>
    <x v="9"/>
    <x v="2"/>
    <x v="1"/>
    <x v="43"/>
    <x v="9"/>
    <x v="0"/>
    <x v="1"/>
    <x v="0"/>
    <x v="2"/>
    <x v="5"/>
    <x v="1"/>
    <x v="0"/>
    <x v="191"/>
    <x v="2"/>
    <x v="376"/>
  </r>
  <r>
    <x v="0"/>
    <x v="383"/>
    <x v="0"/>
    <x v="11"/>
    <x v="1"/>
    <x v="8"/>
    <x v="8"/>
    <x v="2"/>
    <x v="1"/>
    <x v="254"/>
    <x v="8"/>
    <x v="0"/>
    <x v="5"/>
    <x v="0"/>
    <x v="0"/>
    <x v="0"/>
    <x v="1"/>
    <x v="0"/>
    <x v="1"/>
    <x v="1"/>
    <x v="377"/>
  </r>
  <r>
    <x v="10"/>
    <x v="384"/>
    <x v="19"/>
    <x v="2"/>
    <x v="1"/>
    <x v="0"/>
    <x v="0"/>
    <x v="0"/>
    <x v="1"/>
    <x v="255"/>
    <x v="0"/>
    <x v="3"/>
    <x v="8"/>
    <x v="0"/>
    <x v="2"/>
    <x v="5"/>
    <x v="0"/>
    <x v="0"/>
    <x v="1"/>
    <x v="1"/>
    <x v="378"/>
  </r>
  <r>
    <x v="1"/>
    <x v="385"/>
    <x v="17"/>
    <x v="4"/>
    <x v="1"/>
    <x v="2"/>
    <x v="2"/>
    <x v="1"/>
    <x v="0"/>
    <x v="238"/>
    <x v="2"/>
    <x v="3"/>
    <x v="4"/>
    <x v="0"/>
    <x v="1"/>
    <x v="1"/>
    <x v="1"/>
    <x v="1"/>
    <x v="192"/>
    <x v="0"/>
    <x v="379"/>
  </r>
  <r>
    <x v="4"/>
    <x v="386"/>
    <x v="6"/>
    <x v="7"/>
    <x v="0"/>
    <x v="0"/>
    <x v="0"/>
    <x v="0"/>
    <x v="1"/>
    <x v="242"/>
    <x v="0"/>
    <x v="0"/>
    <x v="5"/>
    <x v="0"/>
    <x v="2"/>
    <x v="5"/>
    <x v="0"/>
    <x v="0"/>
    <x v="193"/>
    <x v="2"/>
    <x v="380"/>
  </r>
  <r>
    <x v="0"/>
    <x v="387"/>
    <x v="0"/>
    <x v="4"/>
    <x v="1"/>
    <x v="0"/>
    <x v="0"/>
    <x v="0"/>
    <x v="1"/>
    <x v="10"/>
    <x v="0"/>
    <x v="2"/>
    <x v="9"/>
    <x v="0"/>
    <x v="0"/>
    <x v="0"/>
    <x v="0"/>
    <x v="0"/>
    <x v="1"/>
    <x v="1"/>
    <x v="381"/>
  </r>
  <r>
    <x v="5"/>
    <x v="388"/>
    <x v="3"/>
    <x v="9"/>
    <x v="1"/>
    <x v="8"/>
    <x v="8"/>
    <x v="2"/>
    <x v="1"/>
    <x v="256"/>
    <x v="8"/>
    <x v="5"/>
    <x v="2"/>
    <x v="1"/>
    <x v="0"/>
    <x v="0"/>
    <x v="2"/>
    <x v="1"/>
    <x v="1"/>
    <x v="1"/>
    <x v="382"/>
  </r>
  <r>
    <x v="6"/>
    <x v="389"/>
    <x v="23"/>
    <x v="7"/>
    <x v="0"/>
    <x v="2"/>
    <x v="2"/>
    <x v="1"/>
    <x v="1"/>
    <x v="257"/>
    <x v="2"/>
    <x v="3"/>
    <x v="4"/>
    <x v="0"/>
    <x v="1"/>
    <x v="3"/>
    <x v="0"/>
    <x v="0"/>
    <x v="194"/>
    <x v="2"/>
    <x v="383"/>
  </r>
  <r>
    <x v="9"/>
    <x v="390"/>
    <x v="38"/>
    <x v="8"/>
    <x v="1"/>
    <x v="9"/>
    <x v="9"/>
    <x v="2"/>
    <x v="0"/>
    <x v="258"/>
    <x v="9"/>
    <x v="0"/>
    <x v="5"/>
    <x v="0"/>
    <x v="0"/>
    <x v="0"/>
    <x v="1"/>
    <x v="0"/>
    <x v="195"/>
    <x v="0"/>
    <x v="384"/>
  </r>
  <r>
    <x v="2"/>
    <x v="391"/>
    <x v="44"/>
    <x v="4"/>
    <x v="1"/>
    <x v="9"/>
    <x v="9"/>
    <x v="2"/>
    <x v="1"/>
    <x v="77"/>
    <x v="9"/>
    <x v="0"/>
    <x v="5"/>
    <x v="0"/>
    <x v="0"/>
    <x v="0"/>
    <x v="1"/>
    <x v="0"/>
    <x v="196"/>
    <x v="0"/>
    <x v="385"/>
  </r>
  <r>
    <x v="5"/>
    <x v="392"/>
    <x v="18"/>
    <x v="9"/>
    <x v="1"/>
    <x v="2"/>
    <x v="2"/>
    <x v="1"/>
    <x v="1"/>
    <x v="112"/>
    <x v="2"/>
    <x v="0"/>
    <x v="5"/>
    <x v="0"/>
    <x v="2"/>
    <x v="5"/>
    <x v="0"/>
    <x v="1"/>
    <x v="197"/>
    <x v="2"/>
    <x v="386"/>
  </r>
  <r>
    <x v="4"/>
    <x v="393"/>
    <x v="14"/>
    <x v="2"/>
    <x v="1"/>
    <x v="0"/>
    <x v="0"/>
    <x v="0"/>
    <x v="0"/>
    <x v="259"/>
    <x v="0"/>
    <x v="0"/>
    <x v="0"/>
    <x v="0"/>
    <x v="1"/>
    <x v="2"/>
    <x v="2"/>
    <x v="0"/>
    <x v="1"/>
    <x v="1"/>
    <x v="387"/>
  </r>
  <r>
    <x v="10"/>
    <x v="394"/>
    <x v="41"/>
    <x v="8"/>
    <x v="0"/>
    <x v="2"/>
    <x v="2"/>
    <x v="1"/>
    <x v="1"/>
    <x v="260"/>
    <x v="2"/>
    <x v="3"/>
    <x v="8"/>
    <x v="0"/>
    <x v="0"/>
    <x v="0"/>
    <x v="0"/>
    <x v="0"/>
    <x v="1"/>
    <x v="1"/>
    <x v="388"/>
  </r>
  <r>
    <x v="6"/>
    <x v="395"/>
    <x v="34"/>
    <x v="6"/>
    <x v="1"/>
    <x v="8"/>
    <x v="8"/>
    <x v="2"/>
    <x v="1"/>
    <x v="177"/>
    <x v="8"/>
    <x v="3"/>
    <x v="8"/>
    <x v="0"/>
    <x v="0"/>
    <x v="0"/>
    <x v="2"/>
    <x v="1"/>
    <x v="1"/>
    <x v="1"/>
    <x v="389"/>
  </r>
  <r>
    <x v="11"/>
    <x v="396"/>
    <x v="33"/>
    <x v="4"/>
    <x v="1"/>
    <x v="9"/>
    <x v="9"/>
    <x v="2"/>
    <x v="1"/>
    <x v="128"/>
    <x v="9"/>
    <x v="3"/>
    <x v="8"/>
    <x v="0"/>
    <x v="0"/>
    <x v="0"/>
    <x v="1"/>
    <x v="1"/>
    <x v="1"/>
    <x v="1"/>
    <x v="390"/>
  </r>
  <r>
    <x v="11"/>
    <x v="397"/>
    <x v="28"/>
    <x v="12"/>
    <x v="1"/>
    <x v="7"/>
    <x v="7"/>
    <x v="0"/>
    <x v="1"/>
    <x v="52"/>
    <x v="7"/>
    <x v="2"/>
    <x v="9"/>
    <x v="0"/>
    <x v="0"/>
    <x v="0"/>
    <x v="0"/>
    <x v="1"/>
    <x v="1"/>
    <x v="1"/>
    <x v="391"/>
  </r>
  <r>
    <x v="8"/>
    <x v="398"/>
    <x v="45"/>
    <x v="9"/>
    <x v="1"/>
    <x v="7"/>
    <x v="7"/>
    <x v="0"/>
    <x v="1"/>
    <x v="261"/>
    <x v="7"/>
    <x v="0"/>
    <x v="0"/>
    <x v="0"/>
    <x v="0"/>
    <x v="0"/>
    <x v="0"/>
    <x v="1"/>
    <x v="1"/>
    <x v="1"/>
    <x v="392"/>
  </r>
  <r>
    <x v="1"/>
    <x v="399"/>
    <x v="11"/>
    <x v="11"/>
    <x v="1"/>
    <x v="5"/>
    <x v="5"/>
    <x v="2"/>
    <x v="0"/>
    <x v="186"/>
    <x v="5"/>
    <x v="0"/>
    <x v="1"/>
    <x v="0"/>
    <x v="1"/>
    <x v="7"/>
    <x v="0"/>
    <x v="0"/>
    <x v="198"/>
    <x v="2"/>
    <x v="393"/>
  </r>
  <r>
    <x v="11"/>
    <x v="400"/>
    <x v="50"/>
    <x v="7"/>
    <x v="0"/>
    <x v="8"/>
    <x v="8"/>
    <x v="2"/>
    <x v="1"/>
    <x v="262"/>
    <x v="8"/>
    <x v="0"/>
    <x v="1"/>
    <x v="0"/>
    <x v="1"/>
    <x v="4"/>
    <x v="1"/>
    <x v="0"/>
    <x v="199"/>
    <x v="0"/>
    <x v="394"/>
  </r>
  <r>
    <x v="8"/>
    <x v="401"/>
    <x v="22"/>
    <x v="0"/>
    <x v="1"/>
    <x v="2"/>
    <x v="2"/>
    <x v="1"/>
    <x v="0"/>
    <x v="263"/>
    <x v="2"/>
    <x v="0"/>
    <x v="5"/>
    <x v="0"/>
    <x v="0"/>
    <x v="0"/>
    <x v="0"/>
    <x v="1"/>
    <x v="1"/>
    <x v="1"/>
    <x v="395"/>
  </r>
  <r>
    <x v="3"/>
    <x v="402"/>
    <x v="47"/>
    <x v="11"/>
    <x v="0"/>
    <x v="7"/>
    <x v="7"/>
    <x v="0"/>
    <x v="0"/>
    <x v="44"/>
    <x v="7"/>
    <x v="3"/>
    <x v="4"/>
    <x v="0"/>
    <x v="0"/>
    <x v="0"/>
    <x v="2"/>
    <x v="1"/>
    <x v="1"/>
    <x v="1"/>
    <x v="396"/>
  </r>
  <r>
    <x v="7"/>
    <x v="403"/>
    <x v="36"/>
    <x v="8"/>
    <x v="1"/>
    <x v="1"/>
    <x v="1"/>
    <x v="0"/>
    <x v="0"/>
    <x v="79"/>
    <x v="1"/>
    <x v="2"/>
    <x v="3"/>
    <x v="0"/>
    <x v="1"/>
    <x v="2"/>
    <x v="0"/>
    <x v="0"/>
    <x v="200"/>
    <x v="2"/>
    <x v="397"/>
  </r>
  <r>
    <x v="3"/>
    <x v="404"/>
    <x v="47"/>
    <x v="12"/>
    <x v="1"/>
    <x v="2"/>
    <x v="2"/>
    <x v="1"/>
    <x v="1"/>
    <x v="26"/>
    <x v="2"/>
    <x v="1"/>
    <x v="2"/>
    <x v="1"/>
    <x v="1"/>
    <x v="2"/>
    <x v="2"/>
    <x v="1"/>
    <x v="1"/>
    <x v="1"/>
    <x v="398"/>
  </r>
  <r>
    <x v="0"/>
    <x v="405"/>
    <x v="42"/>
    <x v="8"/>
    <x v="1"/>
    <x v="0"/>
    <x v="0"/>
    <x v="0"/>
    <x v="1"/>
    <x v="1"/>
    <x v="0"/>
    <x v="4"/>
    <x v="6"/>
    <x v="0"/>
    <x v="1"/>
    <x v="1"/>
    <x v="0"/>
    <x v="0"/>
    <x v="201"/>
    <x v="2"/>
    <x v="399"/>
  </r>
  <r>
    <x v="8"/>
    <x v="406"/>
    <x v="6"/>
    <x v="8"/>
    <x v="0"/>
    <x v="5"/>
    <x v="5"/>
    <x v="2"/>
    <x v="1"/>
    <x v="195"/>
    <x v="5"/>
    <x v="3"/>
    <x v="4"/>
    <x v="0"/>
    <x v="0"/>
    <x v="0"/>
    <x v="2"/>
    <x v="1"/>
    <x v="1"/>
    <x v="1"/>
    <x v="400"/>
  </r>
  <r>
    <x v="10"/>
    <x v="407"/>
    <x v="31"/>
    <x v="2"/>
    <x v="0"/>
    <x v="9"/>
    <x v="9"/>
    <x v="2"/>
    <x v="1"/>
    <x v="210"/>
    <x v="9"/>
    <x v="0"/>
    <x v="0"/>
    <x v="0"/>
    <x v="1"/>
    <x v="3"/>
    <x v="0"/>
    <x v="1"/>
    <x v="202"/>
    <x v="0"/>
    <x v="401"/>
  </r>
  <r>
    <x v="6"/>
    <x v="408"/>
    <x v="20"/>
    <x v="7"/>
    <x v="1"/>
    <x v="1"/>
    <x v="1"/>
    <x v="0"/>
    <x v="1"/>
    <x v="264"/>
    <x v="1"/>
    <x v="3"/>
    <x v="4"/>
    <x v="0"/>
    <x v="0"/>
    <x v="0"/>
    <x v="1"/>
    <x v="0"/>
    <x v="1"/>
    <x v="1"/>
    <x v="402"/>
  </r>
  <r>
    <x v="6"/>
    <x v="409"/>
    <x v="1"/>
    <x v="2"/>
    <x v="1"/>
    <x v="8"/>
    <x v="8"/>
    <x v="2"/>
    <x v="1"/>
    <x v="119"/>
    <x v="8"/>
    <x v="0"/>
    <x v="5"/>
    <x v="0"/>
    <x v="0"/>
    <x v="0"/>
    <x v="1"/>
    <x v="1"/>
    <x v="1"/>
    <x v="1"/>
    <x v="403"/>
  </r>
  <r>
    <x v="11"/>
    <x v="410"/>
    <x v="19"/>
    <x v="1"/>
    <x v="0"/>
    <x v="6"/>
    <x v="6"/>
    <x v="1"/>
    <x v="1"/>
    <x v="12"/>
    <x v="6"/>
    <x v="1"/>
    <x v="2"/>
    <x v="1"/>
    <x v="1"/>
    <x v="1"/>
    <x v="0"/>
    <x v="0"/>
    <x v="203"/>
    <x v="2"/>
    <x v="404"/>
  </r>
  <r>
    <x v="0"/>
    <x v="411"/>
    <x v="16"/>
    <x v="12"/>
    <x v="1"/>
    <x v="1"/>
    <x v="1"/>
    <x v="0"/>
    <x v="1"/>
    <x v="38"/>
    <x v="1"/>
    <x v="3"/>
    <x v="8"/>
    <x v="0"/>
    <x v="0"/>
    <x v="0"/>
    <x v="2"/>
    <x v="1"/>
    <x v="1"/>
    <x v="1"/>
    <x v="405"/>
  </r>
  <r>
    <x v="10"/>
    <x v="412"/>
    <x v="47"/>
    <x v="5"/>
    <x v="1"/>
    <x v="7"/>
    <x v="7"/>
    <x v="0"/>
    <x v="1"/>
    <x v="30"/>
    <x v="7"/>
    <x v="0"/>
    <x v="5"/>
    <x v="0"/>
    <x v="0"/>
    <x v="0"/>
    <x v="0"/>
    <x v="0"/>
    <x v="1"/>
    <x v="1"/>
    <x v="406"/>
  </r>
  <r>
    <x v="5"/>
    <x v="413"/>
    <x v="18"/>
    <x v="4"/>
    <x v="1"/>
    <x v="8"/>
    <x v="8"/>
    <x v="2"/>
    <x v="1"/>
    <x v="197"/>
    <x v="8"/>
    <x v="0"/>
    <x v="1"/>
    <x v="0"/>
    <x v="0"/>
    <x v="0"/>
    <x v="1"/>
    <x v="0"/>
    <x v="1"/>
    <x v="1"/>
    <x v="407"/>
  </r>
  <r>
    <x v="8"/>
    <x v="414"/>
    <x v="34"/>
    <x v="8"/>
    <x v="0"/>
    <x v="4"/>
    <x v="4"/>
    <x v="2"/>
    <x v="1"/>
    <x v="37"/>
    <x v="4"/>
    <x v="0"/>
    <x v="1"/>
    <x v="0"/>
    <x v="0"/>
    <x v="0"/>
    <x v="1"/>
    <x v="0"/>
    <x v="204"/>
    <x v="2"/>
    <x v="408"/>
  </r>
  <r>
    <x v="0"/>
    <x v="415"/>
    <x v="42"/>
    <x v="5"/>
    <x v="0"/>
    <x v="3"/>
    <x v="3"/>
    <x v="2"/>
    <x v="1"/>
    <x v="68"/>
    <x v="3"/>
    <x v="1"/>
    <x v="2"/>
    <x v="1"/>
    <x v="0"/>
    <x v="0"/>
    <x v="1"/>
    <x v="1"/>
    <x v="1"/>
    <x v="1"/>
    <x v="409"/>
  </r>
  <r>
    <x v="11"/>
    <x v="416"/>
    <x v="13"/>
    <x v="4"/>
    <x v="1"/>
    <x v="0"/>
    <x v="0"/>
    <x v="0"/>
    <x v="1"/>
    <x v="31"/>
    <x v="0"/>
    <x v="0"/>
    <x v="5"/>
    <x v="0"/>
    <x v="1"/>
    <x v="2"/>
    <x v="0"/>
    <x v="0"/>
    <x v="169"/>
    <x v="2"/>
    <x v="410"/>
  </r>
  <r>
    <x v="7"/>
    <x v="417"/>
    <x v="2"/>
    <x v="2"/>
    <x v="0"/>
    <x v="1"/>
    <x v="1"/>
    <x v="0"/>
    <x v="0"/>
    <x v="74"/>
    <x v="1"/>
    <x v="0"/>
    <x v="5"/>
    <x v="0"/>
    <x v="0"/>
    <x v="0"/>
    <x v="0"/>
    <x v="0"/>
    <x v="1"/>
    <x v="1"/>
    <x v="411"/>
  </r>
  <r>
    <x v="8"/>
    <x v="418"/>
    <x v="31"/>
    <x v="4"/>
    <x v="1"/>
    <x v="2"/>
    <x v="2"/>
    <x v="1"/>
    <x v="0"/>
    <x v="265"/>
    <x v="2"/>
    <x v="0"/>
    <x v="1"/>
    <x v="0"/>
    <x v="0"/>
    <x v="0"/>
    <x v="0"/>
    <x v="1"/>
    <x v="1"/>
    <x v="1"/>
    <x v="412"/>
  </r>
  <r>
    <x v="5"/>
    <x v="419"/>
    <x v="28"/>
    <x v="6"/>
    <x v="1"/>
    <x v="0"/>
    <x v="0"/>
    <x v="0"/>
    <x v="1"/>
    <x v="170"/>
    <x v="0"/>
    <x v="2"/>
    <x v="9"/>
    <x v="0"/>
    <x v="1"/>
    <x v="2"/>
    <x v="0"/>
    <x v="1"/>
    <x v="205"/>
    <x v="0"/>
    <x v="413"/>
  </r>
  <r>
    <x v="1"/>
    <x v="420"/>
    <x v="24"/>
    <x v="11"/>
    <x v="1"/>
    <x v="8"/>
    <x v="8"/>
    <x v="2"/>
    <x v="1"/>
    <x v="266"/>
    <x v="8"/>
    <x v="3"/>
    <x v="8"/>
    <x v="0"/>
    <x v="0"/>
    <x v="0"/>
    <x v="0"/>
    <x v="0"/>
    <x v="1"/>
    <x v="1"/>
    <x v="414"/>
  </r>
  <r>
    <x v="7"/>
    <x v="421"/>
    <x v="36"/>
    <x v="4"/>
    <x v="1"/>
    <x v="1"/>
    <x v="1"/>
    <x v="0"/>
    <x v="1"/>
    <x v="267"/>
    <x v="1"/>
    <x v="4"/>
    <x v="7"/>
    <x v="0"/>
    <x v="2"/>
    <x v="5"/>
    <x v="2"/>
    <x v="1"/>
    <x v="206"/>
    <x v="0"/>
    <x v="415"/>
  </r>
  <r>
    <x v="3"/>
    <x v="422"/>
    <x v="48"/>
    <x v="0"/>
    <x v="1"/>
    <x v="0"/>
    <x v="0"/>
    <x v="0"/>
    <x v="1"/>
    <x v="268"/>
    <x v="0"/>
    <x v="0"/>
    <x v="5"/>
    <x v="0"/>
    <x v="0"/>
    <x v="0"/>
    <x v="1"/>
    <x v="0"/>
    <x v="1"/>
    <x v="1"/>
    <x v="343"/>
  </r>
  <r>
    <x v="6"/>
    <x v="423"/>
    <x v="7"/>
    <x v="7"/>
    <x v="1"/>
    <x v="9"/>
    <x v="9"/>
    <x v="2"/>
    <x v="1"/>
    <x v="149"/>
    <x v="9"/>
    <x v="0"/>
    <x v="5"/>
    <x v="0"/>
    <x v="0"/>
    <x v="0"/>
    <x v="1"/>
    <x v="0"/>
    <x v="1"/>
    <x v="1"/>
    <x v="185"/>
  </r>
  <r>
    <x v="4"/>
    <x v="424"/>
    <x v="34"/>
    <x v="4"/>
    <x v="1"/>
    <x v="1"/>
    <x v="1"/>
    <x v="0"/>
    <x v="1"/>
    <x v="159"/>
    <x v="1"/>
    <x v="1"/>
    <x v="2"/>
    <x v="1"/>
    <x v="0"/>
    <x v="0"/>
    <x v="1"/>
    <x v="1"/>
    <x v="1"/>
    <x v="1"/>
    <x v="416"/>
  </r>
  <r>
    <x v="1"/>
    <x v="425"/>
    <x v="2"/>
    <x v="7"/>
    <x v="0"/>
    <x v="9"/>
    <x v="9"/>
    <x v="2"/>
    <x v="0"/>
    <x v="269"/>
    <x v="9"/>
    <x v="0"/>
    <x v="0"/>
    <x v="0"/>
    <x v="1"/>
    <x v="2"/>
    <x v="0"/>
    <x v="0"/>
    <x v="207"/>
    <x v="2"/>
    <x v="417"/>
  </r>
  <r>
    <x v="10"/>
    <x v="426"/>
    <x v="28"/>
    <x v="3"/>
    <x v="1"/>
    <x v="7"/>
    <x v="7"/>
    <x v="0"/>
    <x v="0"/>
    <x v="234"/>
    <x v="7"/>
    <x v="0"/>
    <x v="0"/>
    <x v="0"/>
    <x v="0"/>
    <x v="0"/>
    <x v="1"/>
    <x v="0"/>
    <x v="1"/>
    <x v="1"/>
    <x v="418"/>
  </r>
  <r>
    <x v="5"/>
    <x v="427"/>
    <x v="13"/>
    <x v="7"/>
    <x v="1"/>
    <x v="1"/>
    <x v="1"/>
    <x v="0"/>
    <x v="0"/>
    <x v="270"/>
    <x v="1"/>
    <x v="3"/>
    <x v="4"/>
    <x v="0"/>
    <x v="2"/>
    <x v="5"/>
    <x v="0"/>
    <x v="1"/>
    <x v="53"/>
    <x v="0"/>
    <x v="419"/>
  </r>
  <r>
    <x v="0"/>
    <x v="428"/>
    <x v="7"/>
    <x v="11"/>
    <x v="0"/>
    <x v="9"/>
    <x v="9"/>
    <x v="2"/>
    <x v="1"/>
    <x v="98"/>
    <x v="9"/>
    <x v="0"/>
    <x v="5"/>
    <x v="0"/>
    <x v="0"/>
    <x v="0"/>
    <x v="0"/>
    <x v="0"/>
    <x v="57"/>
    <x v="0"/>
    <x v="420"/>
  </r>
  <r>
    <x v="5"/>
    <x v="429"/>
    <x v="20"/>
    <x v="7"/>
    <x v="0"/>
    <x v="8"/>
    <x v="8"/>
    <x v="2"/>
    <x v="1"/>
    <x v="271"/>
    <x v="8"/>
    <x v="0"/>
    <x v="1"/>
    <x v="0"/>
    <x v="0"/>
    <x v="0"/>
    <x v="1"/>
    <x v="1"/>
    <x v="1"/>
    <x v="1"/>
    <x v="421"/>
  </r>
  <r>
    <x v="1"/>
    <x v="430"/>
    <x v="23"/>
    <x v="13"/>
    <x v="0"/>
    <x v="9"/>
    <x v="9"/>
    <x v="2"/>
    <x v="0"/>
    <x v="100"/>
    <x v="9"/>
    <x v="2"/>
    <x v="3"/>
    <x v="0"/>
    <x v="0"/>
    <x v="0"/>
    <x v="1"/>
    <x v="1"/>
    <x v="125"/>
    <x v="0"/>
    <x v="116"/>
  </r>
  <r>
    <x v="0"/>
    <x v="431"/>
    <x v="21"/>
    <x v="8"/>
    <x v="0"/>
    <x v="5"/>
    <x v="5"/>
    <x v="2"/>
    <x v="1"/>
    <x v="272"/>
    <x v="5"/>
    <x v="3"/>
    <x v="4"/>
    <x v="0"/>
    <x v="0"/>
    <x v="0"/>
    <x v="2"/>
    <x v="0"/>
    <x v="1"/>
    <x v="1"/>
    <x v="99"/>
  </r>
  <r>
    <x v="3"/>
    <x v="432"/>
    <x v="3"/>
    <x v="7"/>
    <x v="0"/>
    <x v="1"/>
    <x v="1"/>
    <x v="0"/>
    <x v="1"/>
    <x v="92"/>
    <x v="1"/>
    <x v="0"/>
    <x v="5"/>
    <x v="0"/>
    <x v="0"/>
    <x v="0"/>
    <x v="0"/>
    <x v="1"/>
    <x v="1"/>
    <x v="1"/>
    <x v="422"/>
  </r>
  <r>
    <x v="0"/>
    <x v="433"/>
    <x v="15"/>
    <x v="2"/>
    <x v="1"/>
    <x v="7"/>
    <x v="7"/>
    <x v="0"/>
    <x v="1"/>
    <x v="92"/>
    <x v="7"/>
    <x v="0"/>
    <x v="5"/>
    <x v="0"/>
    <x v="0"/>
    <x v="0"/>
    <x v="1"/>
    <x v="0"/>
    <x v="1"/>
    <x v="1"/>
    <x v="423"/>
  </r>
  <r>
    <x v="7"/>
    <x v="434"/>
    <x v="10"/>
    <x v="13"/>
    <x v="1"/>
    <x v="4"/>
    <x v="4"/>
    <x v="2"/>
    <x v="1"/>
    <x v="187"/>
    <x v="4"/>
    <x v="4"/>
    <x v="6"/>
    <x v="0"/>
    <x v="0"/>
    <x v="0"/>
    <x v="0"/>
    <x v="1"/>
    <x v="1"/>
    <x v="1"/>
    <x v="424"/>
  </r>
  <r>
    <x v="8"/>
    <x v="435"/>
    <x v="9"/>
    <x v="7"/>
    <x v="0"/>
    <x v="0"/>
    <x v="0"/>
    <x v="0"/>
    <x v="1"/>
    <x v="273"/>
    <x v="0"/>
    <x v="0"/>
    <x v="5"/>
    <x v="0"/>
    <x v="1"/>
    <x v="2"/>
    <x v="0"/>
    <x v="0"/>
    <x v="208"/>
    <x v="0"/>
    <x v="425"/>
  </r>
  <r>
    <x v="10"/>
    <x v="436"/>
    <x v="36"/>
    <x v="1"/>
    <x v="1"/>
    <x v="4"/>
    <x v="4"/>
    <x v="2"/>
    <x v="1"/>
    <x v="274"/>
    <x v="4"/>
    <x v="0"/>
    <x v="0"/>
    <x v="0"/>
    <x v="0"/>
    <x v="0"/>
    <x v="1"/>
    <x v="1"/>
    <x v="1"/>
    <x v="1"/>
    <x v="426"/>
  </r>
  <r>
    <x v="9"/>
    <x v="437"/>
    <x v="7"/>
    <x v="7"/>
    <x v="1"/>
    <x v="0"/>
    <x v="0"/>
    <x v="0"/>
    <x v="1"/>
    <x v="93"/>
    <x v="0"/>
    <x v="4"/>
    <x v="7"/>
    <x v="0"/>
    <x v="0"/>
    <x v="0"/>
    <x v="0"/>
    <x v="0"/>
    <x v="1"/>
    <x v="1"/>
    <x v="238"/>
  </r>
  <r>
    <x v="8"/>
    <x v="438"/>
    <x v="49"/>
    <x v="2"/>
    <x v="1"/>
    <x v="2"/>
    <x v="2"/>
    <x v="1"/>
    <x v="1"/>
    <x v="88"/>
    <x v="2"/>
    <x v="4"/>
    <x v="7"/>
    <x v="0"/>
    <x v="0"/>
    <x v="0"/>
    <x v="1"/>
    <x v="0"/>
    <x v="1"/>
    <x v="1"/>
    <x v="427"/>
  </r>
  <r>
    <x v="11"/>
    <x v="439"/>
    <x v="45"/>
    <x v="6"/>
    <x v="1"/>
    <x v="8"/>
    <x v="8"/>
    <x v="2"/>
    <x v="1"/>
    <x v="96"/>
    <x v="8"/>
    <x v="5"/>
    <x v="2"/>
    <x v="1"/>
    <x v="0"/>
    <x v="0"/>
    <x v="1"/>
    <x v="0"/>
    <x v="1"/>
    <x v="1"/>
    <x v="318"/>
  </r>
  <r>
    <x v="0"/>
    <x v="440"/>
    <x v="33"/>
    <x v="8"/>
    <x v="1"/>
    <x v="3"/>
    <x v="3"/>
    <x v="2"/>
    <x v="1"/>
    <x v="178"/>
    <x v="3"/>
    <x v="0"/>
    <x v="0"/>
    <x v="0"/>
    <x v="0"/>
    <x v="0"/>
    <x v="0"/>
    <x v="0"/>
    <x v="1"/>
    <x v="1"/>
    <x v="428"/>
  </r>
  <r>
    <x v="3"/>
    <x v="441"/>
    <x v="39"/>
    <x v="12"/>
    <x v="1"/>
    <x v="8"/>
    <x v="8"/>
    <x v="2"/>
    <x v="1"/>
    <x v="275"/>
    <x v="8"/>
    <x v="0"/>
    <x v="0"/>
    <x v="0"/>
    <x v="1"/>
    <x v="6"/>
    <x v="2"/>
    <x v="0"/>
    <x v="73"/>
    <x v="0"/>
    <x v="429"/>
  </r>
  <r>
    <x v="7"/>
    <x v="442"/>
    <x v="16"/>
    <x v="5"/>
    <x v="0"/>
    <x v="4"/>
    <x v="4"/>
    <x v="2"/>
    <x v="0"/>
    <x v="276"/>
    <x v="4"/>
    <x v="3"/>
    <x v="8"/>
    <x v="0"/>
    <x v="0"/>
    <x v="0"/>
    <x v="1"/>
    <x v="0"/>
    <x v="160"/>
    <x v="2"/>
    <x v="132"/>
  </r>
  <r>
    <x v="2"/>
    <x v="443"/>
    <x v="32"/>
    <x v="13"/>
    <x v="0"/>
    <x v="7"/>
    <x v="7"/>
    <x v="0"/>
    <x v="1"/>
    <x v="47"/>
    <x v="7"/>
    <x v="4"/>
    <x v="7"/>
    <x v="0"/>
    <x v="1"/>
    <x v="2"/>
    <x v="1"/>
    <x v="0"/>
    <x v="209"/>
    <x v="0"/>
    <x v="430"/>
  </r>
  <r>
    <x v="11"/>
    <x v="444"/>
    <x v="4"/>
    <x v="4"/>
    <x v="1"/>
    <x v="4"/>
    <x v="4"/>
    <x v="2"/>
    <x v="1"/>
    <x v="213"/>
    <x v="4"/>
    <x v="0"/>
    <x v="5"/>
    <x v="0"/>
    <x v="0"/>
    <x v="0"/>
    <x v="1"/>
    <x v="0"/>
    <x v="210"/>
    <x v="0"/>
    <x v="431"/>
  </r>
  <r>
    <x v="8"/>
    <x v="445"/>
    <x v="10"/>
    <x v="1"/>
    <x v="0"/>
    <x v="3"/>
    <x v="3"/>
    <x v="2"/>
    <x v="1"/>
    <x v="277"/>
    <x v="3"/>
    <x v="3"/>
    <x v="8"/>
    <x v="0"/>
    <x v="0"/>
    <x v="0"/>
    <x v="2"/>
    <x v="0"/>
    <x v="1"/>
    <x v="1"/>
    <x v="432"/>
  </r>
  <r>
    <x v="7"/>
    <x v="446"/>
    <x v="4"/>
    <x v="13"/>
    <x v="1"/>
    <x v="2"/>
    <x v="2"/>
    <x v="1"/>
    <x v="1"/>
    <x v="66"/>
    <x v="2"/>
    <x v="0"/>
    <x v="5"/>
    <x v="0"/>
    <x v="1"/>
    <x v="3"/>
    <x v="0"/>
    <x v="0"/>
    <x v="211"/>
    <x v="0"/>
    <x v="433"/>
  </r>
  <r>
    <x v="11"/>
    <x v="447"/>
    <x v="23"/>
    <x v="13"/>
    <x v="0"/>
    <x v="3"/>
    <x v="3"/>
    <x v="2"/>
    <x v="0"/>
    <x v="278"/>
    <x v="3"/>
    <x v="2"/>
    <x v="3"/>
    <x v="0"/>
    <x v="0"/>
    <x v="0"/>
    <x v="1"/>
    <x v="1"/>
    <x v="1"/>
    <x v="1"/>
    <x v="434"/>
  </r>
  <r>
    <x v="8"/>
    <x v="448"/>
    <x v="36"/>
    <x v="3"/>
    <x v="0"/>
    <x v="8"/>
    <x v="8"/>
    <x v="2"/>
    <x v="1"/>
    <x v="104"/>
    <x v="8"/>
    <x v="2"/>
    <x v="9"/>
    <x v="0"/>
    <x v="0"/>
    <x v="0"/>
    <x v="1"/>
    <x v="0"/>
    <x v="212"/>
    <x v="0"/>
    <x v="435"/>
  </r>
  <r>
    <x v="8"/>
    <x v="449"/>
    <x v="25"/>
    <x v="7"/>
    <x v="1"/>
    <x v="1"/>
    <x v="1"/>
    <x v="0"/>
    <x v="1"/>
    <x v="262"/>
    <x v="1"/>
    <x v="3"/>
    <x v="4"/>
    <x v="0"/>
    <x v="2"/>
    <x v="5"/>
    <x v="0"/>
    <x v="0"/>
    <x v="213"/>
    <x v="0"/>
    <x v="436"/>
  </r>
  <r>
    <x v="3"/>
    <x v="450"/>
    <x v="42"/>
    <x v="3"/>
    <x v="0"/>
    <x v="8"/>
    <x v="8"/>
    <x v="2"/>
    <x v="1"/>
    <x v="93"/>
    <x v="8"/>
    <x v="5"/>
    <x v="2"/>
    <x v="1"/>
    <x v="2"/>
    <x v="5"/>
    <x v="1"/>
    <x v="1"/>
    <x v="1"/>
    <x v="1"/>
    <x v="437"/>
  </r>
  <r>
    <x v="10"/>
    <x v="451"/>
    <x v="48"/>
    <x v="11"/>
    <x v="0"/>
    <x v="5"/>
    <x v="5"/>
    <x v="2"/>
    <x v="1"/>
    <x v="279"/>
    <x v="5"/>
    <x v="5"/>
    <x v="2"/>
    <x v="1"/>
    <x v="1"/>
    <x v="1"/>
    <x v="2"/>
    <x v="1"/>
    <x v="56"/>
    <x v="0"/>
    <x v="438"/>
  </r>
  <r>
    <x v="2"/>
    <x v="452"/>
    <x v="36"/>
    <x v="3"/>
    <x v="0"/>
    <x v="6"/>
    <x v="6"/>
    <x v="1"/>
    <x v="0"/>
    <x v="238"/>
    <x v="6"/>
    <x v="0"/>
    <x v="0"/>
    <x v="0"/>
    <x v="0"/>
    <x v="0"/>
    <x v="1"/>
    <x v="0"/>
    <x v="1"/>
    <x v="1"/>
    <x v="439"/>
  </r>
  <r>
    <x v="7"/>
    <x v="453"/>
    <x v="18"/>
    <x v="12"/>
    <x v="0"/>
    <x v="4"/>
    <x v="4"/>
    <x v="2"/>
    <x v="1"/>
    <x v="229"/>
    <x v="4"/>
    <x v="0"/>
    <x v="0"/>
    <x v="0"/>
    <x v="0"/>
    <x v="0"/>
    <x v="1"/>
    <x v="0"/>
    <x v="1"/>
    <x v="1"/>
    <x v="147"/>
  </r>
  <r>
    <x v="0"/>
    <x v="454"/>
    <x v="36"/>
    <x v="9"/>
    <x v="1"/>
    <x v="8"/>
    <x v="8"/>
    <x v="2"/>
    <x v="0"/>
    <x v="190"/>
    <x v="8"/>
    <x v="4"/>
    <x v="6"/>
    <x v="0"/>
    <x v="2"/>
    <x v="5"/>
    <x v="1"/>
    <x v="1"/>
    <x v="214"/>
    <x v="0"/>
    <x v="440"/>
  </r>
  <r>
    <x v="2"/>
    <x v="455"/>
    <x v="19"/>
    <x v="4"/>
    <x v="1"/>
    <x v="0"/>
    <x v="0"/>
    <x v="0"/>
    <x v="0"/>
    <x v="93"/>
    <x v="0"/>
    <x v="0"/>
    <x v="0"/>
    <x v="0"/>
    <x v="2"/>
    <x v="5"/>
    <x v="2"/>
    <x v="1"/>
    <x v="215"/>
    <x v="2"/>
    <x v="441"/>
  </r>
  <r>
    <x v="4"/>
    <x v="456"/>
    <x v="18"/>
    <x v="8"/>
    <x v="0"/>
    <x v="4"/>
    <x v="4"/>
    <x v="2"/>
    <x v="1"/>
    <x v="280"/>
    <x v="4"/>
    <x v="0"/>
    <x v="5"/>
    <x v="0"/>
    <x v="0"/>
    <x v="0"/>
    <x v="2"/>
    <x v="1"/>
    <x v="1"/>
    <x v="1"/>
    <x v="442"/>
  </r>
  <r>
    <x v="0"/>
    <x v="457"/>
    <x v="1"/>
    <x v="5"/>
    <x v="0"/>
    <x v="5"/>
    <x v="5"/>
    <x v="2"/>
    <x v="1"/>
    <x v="2"/>
    <x v="5"/>
    <x v="0"/>
    <x v="5"/>
    <x v="0"/>
    <x v="0"/>
    <x v="0"/>
    <x v="1"/>
    <x v="0"/>
    <x v="216"/>
    <x v="0"/>
    <x v="443"/>
  </r>
  <r>
    <x v="5"/>
    <x v="458"/>
    <x v="21"/>
    <x v="0"/>
    <x v="0"/>
    <x v="3"/>
    <x v="3"/>
    <x v="2"/>
    <x v="1"/>
    <x v="281"/>
    <x v="3"/>
    <x v="5"/>
    <x v="2"/>
    <x v="1"/>
    <x v="0"/>
    <x v="0"/>
    <x v="0"/>
    <x v="0"/>
    <x v="1"/>
    <x v="1"/>
    <x v="444"/>
  </r>
  <r>
    <x v="0"/>
    <x v="459"/>
    <x v="39"/>
    <x v="7"/>
    <x v="1"/>
    <x v="2"/>
    <x v="2"/>
    <x v="1"/>
    <x v="1"/>
    <x v="229"/>
    <x v="2"/>
    <x v="3"/>
    <x v="4"/>
    <x v="0"/>
    <x v="0"/>
    <x v="0"/>
    <x v="0"/>
    <x v="0"/>
    <x v="1"/>
    <x v="1"/>
    <x v="445"/>
  </r>
  <r>
    <x v="5"/>
    <x v="460"/>
    <x v="8"/>
    <x v="4"/>
    <x v="1"/>
    <x v="0"/>
    <x v="0"/>
    <x v="0"/>
    <x v="1"/>
    <x v="234"/>
    <x v="0"/>
    <x v="2"/>
    <x v="9"/>
    <x v="0"/>
    <x v="1"/>
    <x v="1"/>
    <x v="1"/>
    <x v="0"/>
    <x v="179"/>
    <x v="2"/>
    <x v="446"/>
  </r>
  <r>
    <x v="3"/>
    <x v="461"/>
    <x v="17"/>
    <x v="9"/>
    <x v="1"/>
    <x v="9"/>
    <x v="9"/>
    <x v="2"/>
    <x v="1"/>
    <x v="12"/>
    <x v="9"/>
    <x v="0"/>
    <x v="0"/>
    <x v="0"/>
    <x v="0"/>
    <x v="0"/>
    <x v="2"/>
    <x v="0"/>
    <x v="1"/>
    <x v="1"/>
    <x v="447"/>
  </r>
  <r>
    <x v="10"/>
    <x v="462"/>
    <x v="18"/>
    <x v="8"/>
    <x v="0"/>
    <x v="4"/>
    <x v="4"/>
    <x v="2"/>
    <x v="1"/>
    <x v="282"/>
    <x v="4"/>
    <x v="0"/>
    <x v="0"/>
    <x v="0"/>
    <x v="0"/>
    <x v="0"/>
    <x v="1"/>
    <x v="1"/>
    <x v="1"/>
    <x v="1"/>
    <x v="448"/>
  </r>
  <r>
    <x v="8"/>
    <x v="463"/>
    <x v="39"/>
    <x v="7"/>
    <x v="1"/>
    <x v="9"/>
    <x v="9"/>
    <x v="2"/>
    <x v="1"/>
    <x v="226"/>
    <x v="9"/>
    <x v="1"/>
    <x v="2"/>
    <x v="1"/>
    <x v="0"/>
    <x v="0"/>
    <x v="0"/>
    <x v="0"/>
    <x v="217"/>
    <x v="0"/>
    <x v="145"/>
  </r>
  <r>
    <x v="0"/>
    <x v="464"/>
    <x v="13"/>
    <x v="11"/>
    <x v="0"/>
    <x v="4"/>
    <x v="4"/>
    <x v="2"/>
    <x v="1"/>
    <x v="33"/>
    <x v="4"/>
    <x v="0"/>
    <x v="5"/>
    <x v="0"/>
    <x v="0"/>
    <x v="0"/>
    <x v="0"/>
    <x v="1"/>
    <x v="1"/>
    <x v="1"/>
    <x v="449"/>
  </r>
  <r>
    <x v="2"/>
    <x v="465"/>
    <x v="15"/>
    <x v="9"/>
    <x v="0"/>
    <x v="4"/>
    <x v="4"/>
    <x v="2"/>
    <x v="1"/>
    <x v="49"/>
    <x v="4"/>
    <x v="0"/>
    <x v="0"/>
    <x v="0"/>
    <x v="0"/>
    <x v="0"/>
    <x v="1"/>
    <x v="1"/>
    <x v="1"/>
    <x v="1"/>
    <x v="450"/>
  </r>
  <r>
    <x v="6"/>
    <x v="466"/>
    <x v="45"/>
    <x v="9"/>
    <x v="1"/>
    <x v="9"/>
    <x v="9"/>
    <x v="2"/>
    <x v="1"/>
    <x v="3"/>
    <x v="9"/>
    <x v="0"/>
    <x v="1"/>
    <x v="0"/>
    <x v="0"/>
    <x v="0"/>
    <x v="2"/>
    <x v="0"/>
    <x v="218"/>
    <x v="0"/>
    <x v="451"/>
  </r>
  <r>
    <x v="8"/>
    <x v="467"/>
    <x v="34"/>
    <x v="8"/>
    <x v="1"/>
    <x v="8"/>
    <x v="8"/>
    <x v="2"/>
    <x v="0"/>
    <x v="281"/>
    <x v="8"/>
    <x v="4"/>
    <x v="7"/>
    <x v="0"/>
    <x v="0"/>
    <x v="0"/>
    <x v="0"/>
    <x v="0"/>
    <x v="219"/>
    <x v="0"/>
    <x v="452"/>
  </r>
  <r>
    <x v="5"/>
    <x v="468"/>
    <x v="34"/>
    <x v="1"/>
    <x v="1"/>
    <x v="7"/>
    <x v="7"/>
    <x v="0"/>
    <x v="1"/>
    <x v="7"/>
    <x v="7"/>
    <x v="0"/>
    <x v="5"/>
    <x v="0"/>
    <x v="2"/>
    <x v="5"/>
    <x v="1"/>
    <x v="1"/>
    <x v="220"/>
    <x v="2"/>
    <x v="453"/>
  </r>
  <r>
    <x v="1"/>
    <x v="469"/>
    <x v="17"/>
    <x v="0"/>
    <x v="0"/>
    <x v="1"/>
    <x v="1"/>
    <x v="0"/>
    <x v="1"/>
    <x v="72"/>
    <x v="1"/>
    <x v="0"/>
    <x v="5"/>
    <x v="0"/>
    <x v="0"/>
    <x v="0"/>
    <x v="1"/>
    <x v="0"/>
    <x v="1"/>
    <x v="1"/>
    <x v="454"/>
  </r>
  <r>
    <x v="3"/>
    <x v="470"/>
    <x v="30"/>
    <x v="7"/>
    <x v="0"/>
    <x v="0"/>
    <x v="0"/>
    <x v="0"/>
    <x v="1"/>
    <x v="283"/>
    <x v="0"/>
    <x v="0"/>
    <x v="0"/>
    <x v="0"/>
    <x v="0"/>
    <x v="0"/>
    <x v="2"/>
    <x v="0"/>
    <x v="1"/>
    <x v="1"/>
    <x v="455"/>
  </r>
  <r>
    <x v="3"/>
    <x v="471"/>
    <x v="39"/>
    <x v="5"/>
    <x v="1"/>
    <x v="5"/>
    <x v="5"/>
    <x v="2"/>
    <x v="1"/>
    <x v="253"/>
    <x v="5"/>
    <x v="0"/>
    <x v="1"/>
    <x v="0"/>
    <x v="0"/>
    <x v="0"/>
    <x v="0"/>
    <x v="1"/>
    <x v="1"/>
    <x v="1"/>
    <x v="456"/>
  </r>
  <r>
    <x v="2"/>
    <x v="472"/>
    <x v="24"/>
    <x v="8"/>
    <x v="1"/>
    <x v="6"/>
    <x v="6"/>
    <x v="1"/>
    <x v="1"/>
    <x v="96"/>
    <x v="6"/>
    <x v="0"/>
    <x v="0"/>
    <x v="0"/>
    <x v="0"/>
    <x v="0"/>
    <x v="2"/>
    <x v="1"/>
    <x v="1"/>
    <x v="1"/>
    <x v="457"/>
  </r>
  <r>
    <x v="1"/>
    <x v="473"/>
    <x v="2"/>
    <x v="4"/>
    <x v="1"/>
    <x v="3"/>
    <x v="3"/>
    <x v="2"/>
    <x v="1"/>
    <x v="193"/>
    <x v="3"/>
    <x v="3"/>
    <x v="8"/>
    <x v="0"/>
    <x v="0"/>
    <x v="0"/>
    <x v="1"/>
    <x v="1"/>
    <x v="1"/>
    <x v="1"/>
    <x v="458"/>
  </r>
  <r>
    <x v="4"/>
    <x v="474"/>
    <x v="20"/>
    <x v="4"/>
    <x v="1"/>
    <x v="1"/>
    <x v="1"/>
    <x v="0"/>
    <x v="0"/>
    <x v="48"/>
    <x v="1"/>
    <x v="0"/>
    <x v="5"/>
    <x v="0"/>
    <x v="0"/>
    <x v="0"/>
    <x v="1"/>
    <x v="0"/>
    <x v="1"/>
    <x v="1"/>
    <x v="459"/>
  </r>
  <r>
    <x v="10"/>
    <x v="475"/>
    <x v="23"/>
    <x v="6"/>
    <x v="0"/>
    <x v="1"/>
    <x v="1"/>
    <x v="0"/>
    <x v="0"/>
    <x v="284"/>
    <x v="1"/>
    <x v="0"/>
    <x v="1"/>
    <x v="0"/>
    <x v="0"/>
    <x v="0"/>
    <x v="0"/>
    <x v="0"/>
    <x v="1"/>
    <x v="1"/>
    <x v="48"/>
  </r>
  <r>
    <x v="2"/>
    <x v="476"/>
    <x v="24"/>
    <x v="8"/>
    <x v="0"/>
    <x v="1"/>
    <x v="1"/>
    <x v="0"/>
    <x v="0"/>
    <x v="189"/>
    <x v="1"/>
    <x v="4"/>
    <x v="6"/>
    <x v="0"/>
    <x v="0"/>
    <x v="0"/>
    <x v="1"/>
    <x v="0"/>
    <x v="221"/>
    <x v="2"/>
    <x v="460"/>
  </r>
  <r>
    <x v="0"/>
    <x v="477"/>
    <x v="46"/>
    <x v="2"/>
    <x v="1"/>
    <x v="3"/>
    <x v="3"/>
    <x v="2"/>
    <x v="1"/>
    <x v="285"/>
    <x v="3"/>
    <x v="4"/>
    <x v="7"/>
    <x v="0"/>
    <x v="1"/>
    <x v="2"/>
    <x v="1"/>
    <x v="1"/>
    <x v="222"/>
    <x v="0"/>
    <x v="461"/>
  </r>
  <r>
    <x v="11"/>
    <x v="478"/>
    <x v="10"/>
    <x v="5"/>
    <x v="0"/>
    <x v="9"/>
    <x v="9"/>
    <x v="2"/>
    <x v="1"/>
    <x v="16"/>
    <x v="9"/>
    <x v="0"/>
    <x v="1"/>
    <x v="0"/>
    <x v="0"/>
    <x v="0"/>
    <x v="0"/>
    <x v="0"/>
    <x v="1"/>
    <x v="1"/>
    <x v="462"/>
  </r>
  <r>
    <x v="1"/>
    <x v="479"/>
    <x v="0"/>
    <x v="8"/>
    <x v="1"/>
    <x v="4"/>
    <x v="4"/>
    <x v="2"/>
    <x v="1"/>
    <x v="286"/>
    <x v="4"/>
    <x v="0"/>
    <x v="5"/>
    <x v="0"/>
    <x v="0"/>
    <x v="0"/>
    <x v="1"/>
    <x v="0"/>
    <x v="223"/>
    <x v="2"/>
    <x v="463"/>
  </r>
  <r>
    <x v="11"/>
    <x v="480"/>
    <x v="23"/>
    <x v="4"/>
    <x v="0"/>
    <x v="0"/>
    <x v="0"/>
    <x v="0"/>
    <x v="0"/>
    <x v="287"/>
    <x v="0"/>
    <x v="0"/>
    <x v="0"/>
    <x v="0"/>
    <x v="0"/>
    <x v="0"/>
    <x v="1"/>
    <x v="0"/>
    <x v="1"/>
    <x v="1"/>
    <x v="464"/>
  </r>
  <r>
    <x v="1"/>
    <x v="481"/>
    <x v="21"/>
    <x v="8"/>
    <x v="1"/>
    <x v="9"/>
    <x v="9"/>
    <x v="2"/>
    <x v="1"/>
    <x v="238"/>
    <x v="9"/>
    <x v="5"/>
    <x v="2"/>
    <x v="1"/>
    <x v="0"/>
    <x v="0"/>
    <x v="1"/>
    <x v="1"/>
    <x v="1"/>
    <x v="1"/>
    <x v="465"/>
  </r>
  <r>
    <x v="3"/>
    <x v="482"/>
    <x v="49"/>
    <x v="11"/>
    <x v="0"/>
    <x v="0"/>
    <x v="0"/>
    <x v="0"/>
    <x v="1"/>
    <x v="288"/>
    <x v="0"/>
    <x v="0"/>
    <x v="5"/>
    <x v="0"/>
    <x v="0"/>
    <x v="0"/>
    <x v="0"/>
    <x v="0"/>
    <x v="1"/>
    <x v="1"/>
    <x v="466"/>
  </r>
  <r>
    <x v="6"/>
    <x v="483"/>
    <x v="47"/>
    <x v="8"/>
    <x v="0"/>
    <x v="4"/>
    <x v="4"/>
    <x v="2"/>
    <x v="1"/>
    <x v="62"/>
    <x v="4"/>
    <x v="0"/>
    <x v="5"/>
    <x v="0"/>
    <x v="0"/>
    <x v="0"/>
    <x v="1"/>
    <x v="0"/>
    <x v="1"/>
    <x v="1"/>
    <x v="467"/>
  </r>
  <r>
    <x v="9"/>
    <x v="484"/>
    <x v="35"/>
    <x v="11"/>
    <x v="1"/>
    <x v="0"/>
    <x v="0"/>
    <x v="0"/>
    <x v="1"/>
    <x v="289"/>
    <x v="0"/>
    <x v="3"/>
    <x v="8"/>
    <x v="0"/>
    <x v="0"/>
    <x v="0"/>
    <x v="0"/>
    <x v="1"/>
    <x v="1"/>
    <x v="1"/>
    <x v="468"/>
  </r>
  <r>
    <x v="7"/>
    <x v="485"/>
    <x v="33"/>
    <x v="11"/>
    <x v="0"/>
    <x v="9"/>
    <x v="9"/>
    <x v="2"/>
    <x v="1"/>
    <x v="189"/>
    <x v="9"/>
    <x v="0"/>
    <x v="1"/>
    <x v="0"/>
    <x v="0"/>
    <x v="0"/>
    <x v="2"/>
    <x v="1"/>
    <x v="211"/>
    <x v="0"/>
    <x v="469"/>
  </r>
  <r>
    <x v="1"/>
    <x v="486"/>
    <x v="20"/>
    <x v="4"/>
    <x v="0"/>
    <x v="8"/>
    <x v="8"/>
    <x v="2"/>
    <x v="1"/>
    <x v="83"/>
    <x v="8"/>
    <x v="0"/>
    <x v="5"/>
    <x v="0"/>
    <x v="2"/>
    <x v="5"/>
    <x v="2"/>
    <x v="1"/>
    <x v="224"/>
    <x v="2"/>
    <x v="470"/>
  </r>
  <r>
    <x v="2"/>
    <x v="487"/>
    <x v="47"/>
    <x v="9"/>
    <x v="1"/>
    <x v="9"/>
    <x v="9"/>
    <x v="2"/>
    <x v="1"/>
    <x v="39"/>
    <x v="9"/>
    <x v="0"/>
    <x v="0"/>
    <x v="0"/>
    <x v="2"/>
    <x v="5"/>
    <x v="0"/>
    <x v="1"/>
    <x v="225"/>
    <x v="0"/>
    <x v="471"/>
  </r>
  <r>
    <x v="8"/>
    <x v="488"/>
    <x v="21"/>
    <x v="2"/>
    <x v="1"/>
    <x v="3"/>
    <x v="3"/>
    <x v="2"/>
    <x v="1"/>
    <x v="198"/>
    <x v="3"/>
    <x v="4"/>
    <x v="7"/>
    <x v="0"/>
    <x v="2"/>
    <x v="5"/>
    <x v="0"/>
    <x v="0"/>
    <x v="226"/>
    <x v="2"/>
    <x v="472"/>
  </r>
  <r>
    <x v="4"/>
    <x v="489"/>
    <x v="35"/>
    <x v="1"/>
    <x v="0"/>
    <x v="3"/>
    <x v="3"/>
    <x v="2"/>
    <x v="1"/>
    <x v="201"/>
    <x v="3"/>
    <x v="4"/>
    <x v="6"/>
    <x v="0"/>
    <x v="0"/>
    <x v="0"/>
    <x v="0"/>
    <x v="1"/>
    <x v="227"/>
    <x v="2"/>
    <x v="473"/>
  </r>
  <r>
    <x v="1"/>
    <x v="490"/>
    <x v="19"/>
    <x v="4"/>
    <x v="1"/>
    <x v="4"/>
    <x v="4"/>
    <x v="2"/>
    <x v="0"/>
    <x v="17"/>
    <x v="4"/>
    <x v="4"/>
    <x v="6"/>
    <x v="0"/>
    <x v="0"/>
    <x v="0"/>
    <x v="1"/>
    <x v="1"/>
    <x v="219"/>
    <x v="0"/>
    <x v="474"/>
  </r>
  <r>
    <x v="2"/>
    <x v="491"/>
    <x v="50"/>
    <x v="2"/>
    <x v="1"/>
    <x v="9"/>
    <x v="9"/>
    <x v="2"/>
    <x v="1"/>
    <x v="288"/>
    <x v="9"/>
    <x v="2"/>
    <x v="9"/>
    <x v="0"/>
    <x v="0"/>
    <x v="0"/>
    <x v="2"/>
    <x v="0"/>
    <x v="69"/>
    <x v="2"/>
    <x v="475"/>
  </r>
  <r>
    <x v="11"/>
    <x v="492"/>
    <x v="2"/>
    <x v="0"/>
    <x v="1"/>
    <x v="9"/>
    <x v="9"/>
    <x v="2"/>
    <x v="1"/>
    <x v="102"/>
    <x v="9"/>
    <x v="0"/>
    <x v="0"/>
    <x v="0"/>
    <x v="0"/>
    <x v="0"/>
    <x v="1"/>
    <x v="1"/>
    <x v="1"/>
    <x v="1"/>
    <x v="476"/>
  </r>
  <r>
    <x v="9"/>
    <x v="493"/>
    <x v="39"/>
    <x v="5"/>
    <x v="0"/>
    <x v="7"/>
    <x v="7"/>
    <x v="0"/>
    <x v="0"/>
    <x v="220"/>
    <x v="7"/>
    <x v="1"/>
    <x v="2"/>
    <x v="1"/>
    <x v="0"/>
    <x v="0"/>
    <x v="0"/>
    <x v="1"/>
    <x v="228"/>
    <x v="0"/>
    <x v="477"/>
  </r>
  <r>
    <x v="0"/>
    <x v="494"/>
    <x v="4"/>
    <x v="12"/>
    <x v="1"/>
    <x v="1"/>
    <x v="1"/>
    <x v="0"/>
    <x v="1"/>
    <x v="290"/>
    <x v="1"/>
    <x v="2"/>
    <x v="9"/>
    <x v="0"/>
    <x v="0"/>
    <x v="0"/>
    <x v="0"/>
    <x v="0"/>
    <x v="1"/>
    <x v="1"/>
    <x v="478"/>
  </r>
  <r>
    <x v="9"/>
    <x v="495"/>
    <x v="31"/>
    <x v="8"/>
    <x v="1"/>
    <x v="8"/>
    <x v="8"/>
    <x v="2"/>
    <x v="1"/>
    <x v="291"/>
    <x v="8"/>
    <x v="2"/>
    <x v="3"/>
    <x v="0"/>
    <x v="0"/>
    <x v="0"/>
    <x v="0"/>
    <x v="1"/>
    <x v="1"/>
    <x v="1"/>
    <x v="479"/>
  </r>
  <r>
    <x v="8"/>
    <x v="496"/>
    <x v="45"/>
    <x v="11"/>
    <x v="0"/>
    <x v="2"/>
    <x v="2"/>
    <x v="1"/>
    <x v="1"/>
    <x v="123"/>
    <x v="2"/>
    <x v="4"/>
    <x v="7"/>
    <x v="0"/>
    <x v="0"/>
    <x v="0"/>
    <x v="2"/>
    <x v="1"/>
    <x v="1"/>
    <x v="1"/>
    <x v="480"/>
  </r>
  <r>
    <x v="3"/>
    <x v="497"/>
    <x v="41"/>
    <x v="5"/>
    <x v="1"/>
    <x v="0"/>
    <x v="0"/>
    <x v="0"/>
    <x v="0"/>
    <x v="59"/>
    <x v="0"/>
    <x v="0"/>
    <x v="5"/>
    <x v="0"/>
    <x v="0"/>
    <x v="0"/>
    <x v="1"/>
    <x v="1"/>
    <x v="1"/>
    <x v="1"/>
    <x v="481"/>
  </r>
  <r>
    <x v="12"/>
    <x v="498"/>
    <x v="51"/>
    <x v="14"/>
    <x v="2"/>
    <x v="10"/>
    <x v="10"/>
    <x v="3"/>
    <x v="2"/>
    <x v="292"/>
    <x v="10"/>
    <x v="6"/>
    <x v="10"/>
    <x v="2"/>
    <x v="3"/>
    <x v="8"/>
    <x v="3"/>
    <x v="2"/>
    <x v="229"/>
    <x v="3"/>
    <x v="4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21">
    <pivotField compact="0" showAll="0">
      <items count="14">
        <item h="1" x="10"/>
        <item x="0"/>
        <item h="1" x="6"/>
        <item h="1" x="11"/>
        <item h="1" x="9"/>
        <item h="1" x="3"/>
        <item h="1" x="7"/>
        <item h="1" x="2"/>
        <item h="1" x="5"/>
        <item h="1" x="1"/>
        <item h="1" x="4"/>
        <item h="1" x="8"/>
        <item h="1" x="12"/>
        <item t="default"/>
      </items>
    </pivotField>
    <pivotField dataField="1" compact="0" showAll="0">
      <items count="500">
        <item x="398"/>
        <item x="272"/>
        <item x="345"/>
        <item x="344"/>
        <item x="74"/>
        <item x="206"/>
        <item x="300"/>
        <item x="289"/>
        <item x="338"/>
        <item x="386"/>
        <item x="39"/>
        <item x="320"/>
        <item x="329"/>
        <item x="286"/>
        <item x="162"/>
        <item x="467"/>
        <item x="343"/>
        <item x="369"/>
        <item x="399"/>
        <item x="316"/>
        <item x="61"/>
        <item x="310"/>
        <item x="73"/>
        <item x="198"/>
        <item x="347"/>
        <item x="83"/>
        <item x="384"/>
        <item x="45"/>
        <item x="395"/>
        <item x="41"/>
        <item x="357"/>
        <item x="118"/>
        <item x="17"/>
        <item x="396"/>
        <item x="158"/>
        <item x="177"/>
        <item x="379"/>
        <item x="252"/>
        <item x="227"/>
        <item x="194"/>
        <item x="325"/>
        <item x="407"/>
        <item x="80"/>
        <item x="448"/>
        <item x="199"/>
        <item x="173"/>
        <item x="474"/>
        <item x="290"/>
        <item x="87"/>
        <item x="388"/>
        <item x="79"/>
        <item x="15"/>
        <item x="317"/>
        <item x="82"/>
        <item x="307"/>
        <item x="0"/>
        <item x="37"/>
        <item x="225"/>
        <item x="277"/>
        <item x="443"/>
        <item x="223"/>
        <item x="362"/>
        <item x="283"/>
        <item x="282"/>
        <item x="372"/>
        <item x="258"/>
        <item x="442"/>
        <item x="204"/>
        <item x="169"/>
        <item x="445"/>
        <item x="103"/>
        <item x="322"/>
        <item x="181"/>
        <item x="220"/>
        <item x="119"/>
        <item x="268"/>
        <item x="333"/>
        <item x="27"/>
        <item x="421"/>
        <item x="21"/>
        <item x="251"/>
        <item x="472"/>
        <item x="435"/>
        <item x="458"/>
        <item x="35"/>
        <item x="381"/>
        <item x="32"/>
        <item x="346"/>
        <item x="249"/>
        <item x="434"/>
        <item x="122"/>
        <item x="31"/>
        <item x="202"/>
        <item x="184"/>
        <item x="203"/>
        <item x="405"/>
        <item x="43"/>
        <item x="260"/>
        <item x="160"/>
        <item x="63"/>
        <item x="134"/>
        <item x="409"/>
        <item x="22"/>
        <item x="385"/>
        <item x="42"/>
        <item x="490"/>
        <item x="337"/>
        <item x="371"/>
        <item x="152"/>
        <item x="163"/>
        <item x="234"/>
        <item x="461"/>
        <item x="400"/>
        <item x="473"/>
        <item x="66"/>
        <item x="125"/>
        <item x="136"/>
        <item x="218"/>
        <item x="9"/>
        <item x="65"/>
        <item x="353"/>
        <item x="92"/>
        <item x="331"/>
        <item x="356"/>
        <item x="330"/>
        <item x="486"/>
        <item x="7"/>
        <item x="422"/>
        <item x="67"/>
        <item x="116"/>
        <item x="195"/>
        <item x="416"/>
        <item x="430"/>
        <item x="117"/>
        <item x="8"/>
        <item x="243"/>
        <item x="387"/>
        <item x="278"/>
        <item x="4"/>
        <item x="447"/>
        <item x="72"/>
        <item x="313"/>
        <item x="33"/>
        <item x="354"/>
        <item x="159"/>
        <item x="340"/>
        <item x="295"/>
        <item x="137"/>
        <item x="468"/>
        <item x="425"/>
        <item x="301"/>
        <item x="449"/>
        <item x="25"/>
        <item x="248"/>
        <item x="247"/>
        <item x="298"/>
        <item x="485"/>
        <item x="465"/>
        <item x="53"/>
        <item x="24"/>
        <item x="94"/>
        <item x="106"/>
        <item x="131"/>
        <item x="145"/>
        <item x="237"/>
        <item x="126"/>
        <item x="488"/>
        <item x="476"/>
        <item x="20"/>
        <item x="495"/>
        <item x="264"/>
        <item x="245"/>
        <item x="129"/>
        <item x="127"/>
        <item x="406"/>
        <item x="75"/>
        <item x="269"/>
        <item x="410"/>
        <item x="133"/>
        <item x="257"/>
        <item x="113"/>
        <item x="308"/>
        <item x="51"/>
        <item x="454"/>
        <item x="439"/>
        <item x="84"/>
        <item x="186"/>
        <item x="459"/>
        <item x="404"/>
        <item x="457"/>
        <item x="71"/>
        <item x="123"/>
        <item x="426"/>
        <item x="469"/>
        <item x="231"/>
        <item x="276"/>
        <item x="451"/>
        <item x="46"/>
        <item x="294"/>
        <item x="491"/>
        <item x="120"/>
        <item x="132"/>
        <item x="255"/>
        <item x="299"/>
        <item x="432"/>
        <item x="188"/>
        <item x="420"/>
        <item x="368"/>
        <item x="380"/>
        <item x="332"/>
        <item x="5"/>
        <item x="291"/>
        <item x="36"/>
        <item x="370"/>
        <item x="297"/>
        <item x="413"/>
        <item x="402"/>
        <item x="146"/>
        <item x="436"/>
        <item x="111"/>
        <item x="209"/>
        <item x="471"/>
        <item x="441"/>
        <item x="18"/>
        <item x="208"/>
        <item x="470"/>
        <item x="121"/>
        <item x="284"/>
        <item x="267"/>
        <item x="143"/>
        <item x="228"/>
        <item x="150"/>
        <item x="217"/>
        <item x="62"/>
        <item x="166"/>
        <item x="55"/>
        <item x="374"/>
        <item x="128"/>
        <item x="437"/>
        <item x="394"/>
        <item x="497"/>
        <item x="107"/>
        <item x="302"/>
        <item x="48"/>
        <item x="216"/>
        <item x="200"/>
        <item x="390"/>
        <item x="211"/>
        <item x="178"/>
        <item x="77"/>
        <item x="494"/>
        <item x="492"/>
        <item x="6"/>
        <item x="246"/>
        <item x="155"/>
        <item x="147"/>
        <item x="105"/>
        <item x="60"/>
        <item x="428"/>
        <item x="375"/>
        <item x="38"/>
        <item x="424"/>
        <item x="414"/>
        <item x="288"/>
        <item x="306"/>
        <item x="480"/>
        <item x="377"/>
        <item x="489"/>
        <item x="261"/>
        <item x="154"/>
        <item x="254"/>
        <item x="205"/>
        <item x="477"/>
        <item x="69"/>
        <item x="419"/>
        <item x="207"/>
        <item x="475"/>
        <item x="34"/>
        <item x="427"/>
        <item x="96"/>
        <item x="176"/>
        <item x="482"/>
        <item x="285"/>
        <item x="463"/>
        <item x="478"/>
        <item x="197"/>
        <item x="47"/>
        <item x="412"/>
        <item x="187"/>
        <item x="19"/>
        <item x="164"/>
        <item x="30"/>
        <item x="219"/>
        <item x="464"/>
        <item x="124"/>
        <item x="349"/>
        <item x="453"/>
        <item x="393"/>
        <item x="266"/>
        <item x="171"/>
        <item x="450"/>
        <item x="201"/>
        <item x="100"/>
        <item x="397"/>
        <item x="484"/>
        <item x="174"/>
        <item x="324"/>
        <item x="493"/>
        <item x="98"/>
        <item x="378"/>
        <item x="157"/>
        <item x="242"/>
        <item x="455"/>
        <item x="172"/>
        <item x="417"/>
        <item x="281"/>
        <item x="115"/>
        <item x="99"/>
        <item x="68"/>
        <item x="481"/>
        <item x="431"/>
        <item x="323"/>
        <item x="270"/>
        <item x="1"/>
        <item x="483"/>
        <item x="151"/>
        <item x="341"/>
        <item x="229"/>
        <item x="321"/>
        <item x="318"/>
        <item x="358"/>
        <item x="140"/>
        <item x="235"/>
        <item x="210"/>
        <item x="49"/>
        <item x="326"/>
        <item x="312"/>
        <item x="135"/>
        <item x="287"/>
        <item x="114"/>
        <item x="86"/>
        <item x="438"/>
        <item x="165"/>
        <item x="373"/>
        <item x="365"/>
        <item x="429"/>
        <item x="479"/>
        <item x="40"/>
        <item x="403"/>
        <item x="389"/>
        <item x="273"/>
        <item x="226"/>
        <item x="196"/>
        <item x="292"/>
        <item x="180"/>
        <item x="175"/>
        <item x="212"/>
        <item x="230"/>
        <item x="259"/>
        <item x="236"/>
        <item x="383"/>
        <item x="161"/>
        <item x="56"/>
        <item x="130"/>
        <item x="256"/>
        <item x="304"/>
        <item x="238"/>
        <item x="102"/>
        <item x="376"/>
        <item x="11"/>
        <item x="392"/>
        <item x="241"/>
        <item x="213"/>
        <item x="156"/>
        <item x="408"/>
        <item x="144"/>
        <item x="363"/>
        <item x="233"/>
        <item x="335"/>
        <item x="314"/>
        <item x="101"/>
        <item x="97"/>
        <item x="265"/>
        <item x="305"/>
        <item x="189"/>
        <item x="415"/>
        <item x="112"/>
        <item x="452"/>
        <item x="224"/>
        <item x="487"/>
        <item x="58"/>
        <item x="138"/>
        <item x="191"/>
        <item x="244"/>
        <item x="215"/>
        <item x="90"/>
        <item x="185"/>
        <item x="359"/>
        <item x="351"/>
        <item x="95"/>
        <item x="50"/>
        <item x="153"/>
        <item x="336"/>
        <item x="382"/>
        <item x="13"/>
        <item x="240"/>
        <item x="366"/>
        <item x="348"/>
        <item x="23"/>
        <item x="293"/>
        <item x="104"/>
        <item x="52"/>
        <item x="44"/>
        <item x="81"/>
        <item x="110"/>
        <item x="315"/>
        <item x="88"/>
        <item x="367"/>
        <item x="460"/>
        <item x="12"/>
        <item x="89"/>
        <item x="222"/>
        <item x="364"/>
        <item x="274"/>
        <item x="149"/>
        <item x="355"/>
        <item x="279"/>
        <item x="59"/>
        <item x="142"/>
        <item x="334"/>
        <item x="109"/>
        <item x="167"/>
        <item x="328"/>
        <item x="3"/>
        <item x="418"/>
        <item x="57"/>
        <item x="280"/>
        <item x="311"/>
        <item x="16"/>
        <item x="401"/>
        <item x="64"/>
        <item x="78"/>
        <item x="327"/>
        <item x="239"/>
        <item x="91"/>
        <item x="342"/>
        <item x="339"/>
        <item x="440"/>
        <item x="28"/>
        <item x="141"/>
        <item x="303"/>
        <item x="168"/>
        <item x="214"/>
        <item x="466"/>
        <item x="29"/>
        <item x="232"/>
        <item x="26"/>
        <item x="85"/>
        <item x="76"/>
        <item x="361"/>
        <item x="221"/>
        <item x="192"/>
        <item x="179"/>
        <item x="253"/>
        <item x="263"/>
        <item x="433"/>
        <item x="423"/>
        <item x="193"/>
        <item x="446"/>
        <item x="70"/>
        <item x="139"/>
        <item x="262"/>
        <item x="462"/>
        <item x="275"/>
        <item x="170"/>
        <item x="183"/>
        <item x="14"/>
        <item x="182"/>
        <item x="148"/>
        <item x="250"/>
        <item x="496"/>
        <item x="2"/>
        <item x="352"/>
        <item x="108"/>
        <item x="360"/>
        <item x="296"/>
        <item x="456"/>
        <item x="444"/>
        <item x="93"/>
        <item x="411"/>
        <item x="350"/>
        <item x="391"/>
        <item x="54"/>
        <item x="271"/>
        <item x="10"/>
        <item x="190"/>
        <item x="309"/>
        <item x="319"/>
        <item x="498"/>
        <item t="default"/>
      </items>
    </pivotField>
    <pivotField compact="0" showAll="0">
      <items count="53">
        <item x="43"/>
        <item x="17"/>
        <item x="32"/>
        <item x="6"/>
        <item x="7"/>
        <item x="15"/>
        <item x="40"/>
        <item x="37"/>
        <item x="31"/>
        <item x="38"/>
        <item x="48"/>
        <item x="46"/>
        <item x="25"/>
        <item x="26"/>
        <item x="30"/>
        <item x="34"/>
        <item x="41"/>
        <item x="49"/>
        <item x="9"/>
        <item x="33"/>
        <item x="11"/>
        <item x="50"/>
        <item x="44"/>
        <item x="42"/>
        <item x="8"/>
        <item x="45"/>
        <item x="1"/>
        <item x="24"/>
        <item x="5"/>
        <item x="23"/>
        <item x="39"/>
        <item x="35"/>
        <item x="13"/>
        <item x="21"/>
        <item x="47"/>
        <item x="2"/>
        <item x="3"/>
        <item x="18"/>
        <item x="20"/>
        <item x="22"/>
        <item x="16"/>
        <item x="10"/>
        <item x="14"/>
        <item x="12"/>
        <item x="28"/>
        <item x="4"/>
        <item x="36"/>
        <item x="0"/>
        <item x="27"/>
        <item x="19"/>
        <item x="29"/>
        <item x="51"/>
        <item t="default"/>
      </items>
    </pivotField>
    <pivotField compact="0" showAll="0">
      <items count="16">
        <item x="11"/>
        <item x="13"/>
        <item x="2"/>
        <item x="3"/>
        <item x="8"/>
        <item x="1"/>
        <item x="10"/>
        <item x="12"/>
        <item x="6"/>
        <item x="0"/>
        <item x="7"/>
        <item x="9"/>
        <item x="4"/>
        <item x="5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4"/>
        <item x="5"/>
        <item x="8"/>
        <item x="2"/>
        <item x="7"/>
        <item x="3"/>
        <item x="6"/>
        <item x="9"/>
        <item x="1"/>
        <item x="10"/>
        <item t="default"/>
      </items>
    </pivotField>
    <pivotField compact="0" showAll="0">
      <items count="12">
        <item x="5"/>
        <item x="9"/>
        <item x="7"/>
        <item x="8"/>
        <item x="6"/>
        <item x="1"/>
        <item x="3"/>
        <item x="0"/>
        <item x="2"/>
        <item x="4"/>
        <item x="10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94">
        <item x="6"/>
        <item x="105"/>
        <item x="120"/>
        <item x="287"/>
        <item x="260"/>
        <item x="283"/>
        <item x="179"/>
        <item x="191"/>
        <item x="91"/>
        <item x="273"/>
        <item x="131"/>
        <item x="266"/>
        <item x="107"/>
        <item x="185"/>
        <item x="228"/>
        <item x="233"/>
        <item x="269"/>
        <item x="10"/>
        <item x="146"/>
        <item x="224"/>
        <item x="63"/>
        <item x="281"/>
        <item x="61"/>
        <item x="127"/>
        <item x="144"/>
        <item x="67"/>
        <item x="245"/>
        <item x="248"/>
        <item x="111"/>
        <item x="164"/>
        <item x="157"/>
        <item x="244"/>
        <item x="192"/>
        <item x="227"/>
        <item x="143"/>
        <item x="152"/>
        <item x="16"/>
        <item x="19"/>
        <item x="288"/>
        <item x="217"/>
        <item x="24"/>
        <item x="121"/>
        <item x="135"/>
        <item x="132"/>
        <item x="41"/>
        <item x="137"/>
        <item x="25"/>
        <item x="22"/>
        <item x="184"/>
        <item x="284"/>
        <item x="194"/>
        <item x="212"/>
        <item x="18"/>
        <item x="28"/>
        <item x="197"/>
        <item x="261"/>
        <item x="126"/>
        <item x="119"/>
        <item x="290"/>
        <item x="114"/>
        <item x="92"/>
        <item x="247"/>
        <item x="262"/>
        <item x="57"/>
        <item x="37"/>
        <item x="80"/>
        <item x="289"/>
        <item x="58"/>
        <item x="34"/>
        <item x="42"/>
        <item x="141"/>
        <item x="82"/>
        <item x="1"/>
        <item x="241"/>
        <item x="178"/>
        <item x="77"/>
        <item x="249"/>
        <item x="20"/>
        <item x="94"/>
        <item x="286"/>
        <item x="47"/>
        <item x="140"/>
        <item x="230"/>
        <item x="165"/>
        <item x="36"/>
        <item x="151"/>
        <item x="29"/>
        <item x="238"/>
        <item x="242"/>
        <item x="190"/>
        <item x="115"/>
        <item x="117"/>
        <item x="3"/>
        <item x="50"/>
        <item x="246"/>
        <item x="110"/>
        <item x="72"/>
        <item x="98"/>
        <item x="145"/>
        <item x="89"/>
        <item x="56"/>
        <item x="182"/>
        <item x="100"/>
        <item x="275"/>
        <item x="276"/>
        <item x="83"/>
        <item x="142"/>
        <item x="220"/>
        <item x="147"/>
        <item x="74"/>
        <item x="168"/>
        <item x="268"/>
        <item x="169"/>
        <item x="234"/>
        <item x="7"/>
        <item x="159"/>
        <item x="43"/>
        <item x="38"/>
        <item x="31"/>
        <item x="198"/>
        <item x="52"/>
        <item x="218"/>
        <item x="4"/>
        <item x="62"/>
        <item x="102"/>
        <item x="253"/>
        <item x="204"/>
        <item x="68"/>
        <item x="263"/>
        <item x="35"/>
        <item x="161"/>
        <item x="5"/>
        <item x="73"/>
        <item x="93"/>
        <item x="254"/>
        <item x="90"/>
        <item x="229"/>
        <item x="208"/>
        <item x="65"/>
        <item x="125"/>
        <item x="8"/>
        <item x="48"/>
        <item x="206"/>
        <item x="291"/>
        <item x="23"/>
        <item x="160"/>
        <item x="226"/>
        <item x="12"/>
        <item x="250"/>
        <item x="32"/>
        <item x="207"/>
        <item x="39"/>
        <item x="0"/>
        <item x="213"/>
        <item x="271"/>
        <item x="21"/>
        <item x="45"/>
        <item x="156"/>
        <item x="14"/>
        <item x="96"/>
        <item x="188"/>
        <item x="189"/>
        <item x="183"/>
        <item x="108"/>
        <item x="30"/>
        <item x="221"/>
        <item x="101"/>
        <item x="139"/>
        <item x="196"/>
        <item x="87"/>
        <item x="201"/>
        <item x="17"/>
        <item x="219"/>
        <item x="148"/>
        <item x="239"/>
        <item x="255"/>
        <item x="265"/>
        <item x="170"/>
        <item x="153"/>
        <item x="79"/>
        <item x="40"/>
        <item x="150"/>
        <item x="187"/>
        <item x="257"/>
        <item x="2"/>
        <item x="88"/>
        <item x="99"/>
        <item x="104"/>
        <item x="136"/>
        <item x="78"/>
        <item x="69"/>
        <item x="167"/>
        <item x="26"/>
        <item x="116"/>
        <item x="181"/>
        <item x="240"/>
        <item x="124"/>
        <item x="186"/>
        <item x="236"/>
        <item x="44"/>
        <item x="278"/>
        <item x="70"/>
        <item x="33"/>
        <item x="84"/>
        <item x="53"/>
        <item x="202"/>
        <item x="172"/>
        <item x="149"/>
        <item x="162"/>
        <item x="106"/>
        <item x="195"/>
        <item x="277"/>
        <item x="180"/>
        <item x="112"/>
        <item x="13"/>
        <item x="11"/>
        <item x="54"/>
        <item x="97"/>
        <item x="258"/>
        <item x="27"/>
        <item x="138"/>
        <item x="46"/>
        <item x="225"/>
        <item x="231"/>
        <item x="237"/>
        <item x="9"/>
        <item x="193"/>
        <item x="209"/>
        <item x="85"/>
        <item x="59"/>
        <item x="175"/>
        <item x="243"/>
        <item x="133"/>
        <item x="174"/>
        <item x="103"/>
        <item x="66"/>
        <item x="270"/>
        <item x="256"/>
        <item x="171"/>
        <item x="216"/>
        <item x="113"/>
        <item x="128"/>
        <item x="232"/>
        <item x="109"/>
        <item x="177"/>
        <item x="199"/>
        <item x="280"/>
        <item x="163"/>
        <item x="155"/>
        <item x="210"/>
        <item x="267"/>
        <item x="76"/>
        <item x="158"/>
        <item x="251"/>
        <item x="130"/>
        <item x="15"/>
        <item x="285"/>
        <item x="55"/>
        <item x="215"/>
        <item x="274"/>
        <item x="154"/>
        <item x="222"/>
        <item x="118"/>
        <item x="279"/>
        <item x="252"/>
        <item x="282"/>
        <item x="176"/>
        <item x="272"/>
        <item x="95"/>
        <item x="223"/>
        <item x="81"/>
        <item x="122"/>
        <item x="259"/>
        <item x="214"/>
        <item x="264"/>
        <item x="75"/>
        <item x="86"/>
        <item x="71"/>
        <item x="51"/>
        <item x="200"/>
        <item x="60"/>
        <item x="129"/>
        <item x="123"/>
        <item x="211"/>
        <item x="49"/>
        <item x="205"/>
        <item x="235"/>
        <item x="64"/>
        <item x="166"/>
        <item x="203"/>
        <item x="134"/>
        <item x="173"/>
        <item x="292"/>
        <item t="default"/>
      </items>
    </pivotField>
    <pivotField compact="0" showAll="0">
      <items count="12">
        <item x="8"/>
        <item x="0"/>
        <item x="6"/>
        <item x="5"/>
        <item x="7"/>
        <item x="2"/>
        <item x="4"/>
        <item x="3"/>
        <item x="1"/>
        <item x="9"/>
        <item x="10"/>
        <item t="default"/>
      </items>
    </pivotField>
    <pivotField compact="0" showAll="0">
      <items count="8">
        <item x="1"/>
        <item x="3"/>
        <item x="2"/>
        <item x="0"/>
        <item x="5"/>
        <item x="4"/>
        <item x="6"/>
        <item t="default"/>
      </items>
    </pivotField>
    <pivotField compact="0" showAll="0">
      <items count="12">
        <item x="5"/>
        <item x="1"/>
        <item x="8"/>
        <item x="4"/>
        <item x="2"/>
        <item x="3"/>
        <item x="9"/>
        <item x="0"/>
        <item x="7"/>
        <item x="6"/>
        <item x="10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multipleItemSelectionAllowed="1" showAll="0">
      <items count="5">
        <item x="2"/>
        <item x="1"/>
        <item x="0"/>
        <item h="1" x="3"/>
        <item t="default"/>
      </items>
    </pivotField>
    <pivotField compact="0" showAll="0">
      <items count="10">
        <item x="0"/>
        <item x="5"/>
        <item x="6"/>
        <item x="4"/>
        <item x="2"/>
        <item x="1"/>
        <item x="3"/>
        <item x="7"/>
        <item x="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31">
        <item x="1"/>
        <item x="19"/>
        <item x="61"/>
        <item x="136"/>
        <item x="153"/>
        <item x="20"/>
        <item x="167"/>
        <item x="145"/>
        <item x="211"/>
        <item x="100"/>
        <item x="105"/>
        <item x="209"/>
        <item x="213"/>
        <item x="216"/>
        <item x="0"/>
        <item x="51"/>
        <item x="140"/>
        <item x="94"/>
        <item x="74"/>
        <item x="39"/>
        <item x="96"/>
        <item x="212"/>
        <item x="189"/>
        <item x="102"/>
        <item x="32"/>
        <item x="9"/>
        <item x="178"/>
        <item x="7"/>
        <item x="56"/>
        <item x="214"/>
        <item x="122"/>
        <item x="17"/>
        <item x="57"/>
        <item x="13"/>
        <item x="217"/>
        <item x="64"/>
        <item x="170"/>
        <item x="12"/>
        <item x="15"/>
        <item x="218"/>
        <item x="89"/>
        <item x="55"/>
        <item x="196"/>
        <item x="82"/>
        <item x="225"/>
        <item x="116"/>
        <item x="108"/>
        <item x="117"/>
        <item x="163"/>
        <item x="174"/>
        <item x="109"/>
        <item x="26"/>
        <item x="228"/>
        <item x="199"/>
        <item x="68"/>
        <item x="2"/>
        <item x="123"/>
        <item x="54"/>
        <item x="16"/>
        <item x="181"/>
        <item x="195"/>
        <item x="88"/>
        <item x="127"/>
        <item x="171"/>
        <item x="80"/>
        <item x="222"/>
        <item x="143"/>
        <item x="41"/>
        <item x="118"/>
        <item x="78"/>
        <item x="142"/>
        <item x="53"/>
        <item x="46"/>
        <item x="210"/>
        <item x="205"/>
        <item x="208"/>
        <item x="168"/>
        <item x="180"/>
        <item x="192"/>
        <item x="147"/>
        <item x="125"/>
        <item x="119"/>
        <item x="154"/>
        <item x="131"/>
        <item x="73"/>
        <item x="11"/>
        <item x="49"/>
        <item x="22"/>
        <item x="219"/>
        <item x="115"/>
        <item x="124"/>
        <item x="99"/>
        <item x="14"/>
        <item x="103"/>
        <item x="165"/>
        <item x="173"/>
        <item x="202"/>
        <item x="67"/>
        <item x="188"/>
        <item x="21"/>
        <item x="85"/>
        <item x="206"/>
        <item x="151"/>
        <item x="176"/>
        <item x="31"/>
        <item x="66"/>
        <item x="128"/>
        <item x="111"/>
        <item x="92"/>
        <item x="166"/>
        <item x="86"/>
        <item x="44"/>
        <item x="112"/>
        <item x="48"/>
        <item x="75"/>
        <item x="3"/>
        <item x="30"/>
        <item x="146"/>
        <item x="18"/>
        <item x="113"/>
        <item x="120"/>
        <item x="223"/>
        <item x="184"/>
        <item x="69"/>
        <item x="182"/>
        <item x="148"/>
        <item x="114"/>
        <item x="193"/>
        <item x="6"/>
        <item x="10"/>
        <item x="215"/>
        <item x="207"/>
        <item x="90"/>
        <item x="175"/>
        <item x="60"/>
        <item x="110"/>
        <item x="161"/>
        <item x="149"/>
        <item x="185"/>
        <item x="63"/>
        <item x="106"/>
        <item x="43"/>
        <item x="47"/>
        <item x="204"/>
        <item x="45"/>
        <item x="134"/>
        <item x="139"/>
        <item x="76"/>
        <item x="4"/>
        <item x="29"/>
        <item x="101"/>
        <item x="84"/>
        <item x="91"/>
        <item x="177"/>
        <item x="5"/>
        <item x="24"/>
        <item x="8"/>
        <item x="133"/>
        <item x="71"/>
        <item x="132"/>
        <item x="126"/>
        <item x="104"/>
        <item x="40"/>
        <item x="203"/>
        <item x="135"/>
        <item x="144"/>
        <item x="162"/>
        <item x="156"/>
        <item x="70"/>
        <item x="129"/>
        <item x="23"/>
        <item x="34"/>
        <item x="36"/>
        <item x="186"/>
        <item x="93"/>
        <item x="79"/>
        <item x="87"/>
        <item x="95"/>
        <item x="107"/>
        <item x="200"/>
        <item x="52"/>
        <item x="220"/>
        <item x="152"/>
        <item x="201"/>
        <item x="42"/>
        <item x="224"/>
        <item x="33"/>
        <item x="81"/>
        <item x="77"/>
        <item x="197"/>
        <item x="194"/>
        <item x="58"/>
        <item x="158"/>
        <item x="226"/>
        <item x="72"/>
        <item x="190"/>
        <item x="183"/>
        <item x="62"/>
        <item x="227"/>
        <item x="198"/>
        <item x="141"/>
        <item x="28"/>
        <item x="138"/>
        <item x="164"/>
        <item x="97"/>
        <item x="38"/>
        <item x="159"/>
        <item x="187"/>
        <item x="137"/>
        <item x="221"/>
        <item x="172"/>
        <item x="121"/>
        <item x="155"/>
        <item x="98"/>
        <item x="59"/>
        <item x="179"/>
        <item x="35"/>
        <item x="65"/>
        <item x="191"/>
        <item x="37"/>
        <item x="130"/>
        <item x="150"/>
        <item x="27"/>
        <item x="169"/>
        <item x="25"/>
        <item x="50"/>
        <item x="157"/>
        <item x="160"/>
        <item x="83"/>
        <item x="229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484">
        <item x="362"/>
        <item x="439"/>
        <item x="307"/>
        <item x="26"/>
        <item x="384"/>
        <item x="167"/>
        <item x="176"/>
        <item x="290"/>
        <item x="464"/>
        <item x="159"/>
        <item x="465"/>
        <item x="359"/>
        <item x="247"/>
        <item x="74"/>
        <item x="253"/>
        <item x="426"/>
        <item x="185"/>
        <item x="285"/>
        <item x="409"/>
        <item x="191"/>
        <item x="169"/>
        <item x="89"/>
        <item x="343"/>
        <item x="454"/>
        <item x="44"/>
        <item x="107"/>
        <item x="396"/>
        <item x="163"/>
        <item x="385"/>
        <item x="130"/>
        <item x="48"/>
        <item x="63"/>
        <item x="390"/>
        <item x="424"/>
        <item x="423"/>
        <item x="252"/>
        <item x="348"/>
        <item x="367"/>
        <item x="201"/>
        <item x="197"/>
        <item x="41"/>
        <item x="6"/>
        <item x="37"/>
        <item x="325"/>
        <item x="254"/>
        <item x="312"/>
        <item x="272"/>
        <item x="452"/>
        <item x="132"/>
        <item x="342"/>
        <item x="473"/>
        <item x="125"/>
        <item x="418"/>
        <item x="355"/>
        <item x="91"/>
        <item x="321"/>
        <item x="435"/>
        <item x="23"/>
        <item x="260"/>
        <item x="445"/>
        <item x="151"/>
        <item x="450"/>
        <item x="320"/>
        <item x="72"/>
        <item x="467"/>
        <item x="469"/>
        <item x="363"/>
        <item x="420"/>
        <item x="364"/>
        <item x="101"/>
        <item x="31"/>
        <item x="375"/>
        <item x="242"/>
        <item x="291"/>
        <item x="322"/>
        <item x="0"/>
        <item x="192"/>
        <item x="298"/>
        <item x="289"/>
        <item x="277"/>
        <item x="2"/>
        <item x="29"/>
        <item x="51"/>
        <item x="259"/>
        <item x="250"/>
        <item x="39"/>
        <item x="449"/>
        <item x="232"/>
        <item x="136"/>
        <item x="381"/>
        <item x="460"/>
        <item x="422"/>
        <item x="75"/>
        <item x="195"/>
        <item x="134"/>
        <item x="256"/>
        <item x="226"/>
        <item x="105"/>
        <item x="345"/>
        <item x="177"/>
        <item x="93"/>
        <item x="218"/>
        <item x="327"/>
        <item x="318"/>
        <item x="180"/>
        <item x="200"/>
        <item x="377"/>
        <item x="442"/>
        <item x="431"/>
        <item x="238"/>
        <item x="245"/>
        <item x="99"/>
        <item x="370"/>
        <item x="466"/>
        <item x="412"/>
        <item x="299"/>
        <item x="281"/>
        <item x="154"/>
        <item x="117"/>
        <item x="248"/>
        <item x="416"/>
        <item x="352"/>
        <item x="36"/>
        <item x="189"/>
        <item x="73"/>
        <item x="477"/>
        <item x="204"/>
        <item x="79"/>
        <item x="346"/>
        <item x="45"/>
        <item x="17"/>
        <item x="451"/>
        <item x="207"/>
        <item x="408"/>
        <item x="233"/>
        <item x="249"/>
        <item x="9"/>
        <item x="222"/>
        <item x="18"/>
        <item x="350"/>
        <item x="183"/>
        <item x="357"/>
        <item x="145"/>
        <item x="142"/>
        <item x="106"/>
        <item x="129"/>
        <item x="194"/>
        <item x="182"/>
        <item x="140"/>
        <item x="274"/>
        <item x="427"/>
        <item x="155"/>
        <item x="25"/>
        <item x="86"/>
        <item x="67"/>
        <item x="71"/>
        <item x="231"/>
        <item x="328"/>
        <item x="5"/>
        <item x="353"/>
        <item x="308"/>
        <item x="203"/>
        <item x="339"/>
        <item x="414"/>
        <item x="54"/>
        <item x="168"/>
        <item x="311"/>
        <item x="395"/>
        <item x="158"/>
        <item x="53"/>
        <item x="280"/>
        <item x="77"/>
        <item x="476"/>
        <item x="261"/>
        <item x="220"/>
        <item x="428"/>
        <item x="1"/>
        <item x="181"/>
        <item x="22"/>
        <item x="198"/>
        <item x="432"/>
        <item x="205"/>
        <item x="196"/>
        <item x="434"/>
        <item x="332"/>
        <item x="400"/>
        <item x="94"/>
        <item x="122"/>
        <item x="111"/>
        <item x="297"/>
        <item x="166"/>
        <item x="118"/>
        <item x="302"/>
        <item x="371"/>
        <item x="27"/>
        <item x="32"/>
        <item x="407"/>
        <item x="287"/>
        <item x="358"/>
        <item x="288"/>
        <item x="146"/>
        <item x="444"/>
        <item x="164"/>
        <item x="153"/>
        <item x="38"/>
        <item x="406"/>
        <item x="69"/>
        <item x="458"/>
        <item x="475"/>
        <item x="138"/>
        <item x="178"/>
        <item x="87"/>
        <item x="43"/>
        <item x="116"/>
        <item x="443"/>
        <item x="121"/>
        <item x="131"/>
        <item x="264"/>
        <item x="411"/>
        <item x="388"/>
        <item x="46"/>
        <item x="309"/>
        <item x="481"/>
        <item x="479"/>
        <item x="171"/>
        <item x="24"/>
        <item x="102"/>
        <item x="365"/>
        <item x="330"/>
        <item x="455"/>
        <item x="30"/>
        <item x="103"/>
        <item x="284"/>
        <item x="109"/>
        <item x="175"/>
        <item x="392"/>
        <item x="143"/>
        <item x="447"/>
        <item x="402"/>
        <item x="382"/>
        <item x="152"/>
        <item x="478"/>
        <item x="456"/>
        <item x="474"/>
        <item x="165"/>
        <item x="235"/>
        <item x="100"/>
        <item x="295"/>
        <item x="149"/>
        <item x="56"/>
        <item x="361"/>
        <item x="344"/>
        <item x="263"/>
        <item x="268"/>
        <item x="147"/>
        <item x="310"/>
        <item x="240"/>
        <item x="258"/>
        <item x="108"/>
        <item x="300"/>
        <item x="405"/>
        <item x="283"/>
        <item x="184"/>
        <item x="463"/>
        <item x="462"/>
        <item x="133"/>
        <item x="421"/>
        <item x="150"/>
        <item x="243"/>
        <item x="480"/>
        <item x="368"/>
        <item x="317"/>
        <item x="156"/>
        <item x="239"/>
        <item x="391"/>
        <item x="188"/>
        <item x="52"/>
        <item x="12"/>
        <item x="61"/>
        <item x="33"/>
        <item x="468"/>
        <item x="301"/>
        <item x="20"/>
        <item x="459"/>
        <item x="98"/>
        <item x="172"/>
        <item x="82"/>
        <item x="329"/>
        <item x="95"/>
        <item x="389"/>
        <item x="160"/>
        <item x="403"/>
        <item x="448"/>
        <item x="59"/>
        <item x="457"/>
        <item x="471"/>
        <item x="296"/>
        <item x="139"/>
        <item x="119"/>
        <item x="419"/>
        <item x="376"/>
        <item x="64"/>
        <item x="217"/>
        <item x="366"/>
        <item x="229"/>
        <item x="211"/>
        <item x="47"/>
        <item x="282"/>
        <item x="225"/>
        <item x="216"/>
        <item x="202"/>
        <item x="267"/>
        <item x="13"/>
        <item x="186"/>
        <item x="453"/>
        <item x="472"/>
        <item x="369"/>
        <item x="255"/>
        <item x="436"/>
        <item x="338"/>
        <item x="57"/>
        <item x="386"/>
        <item x="440"/>
        <item x="104"/>
        <item x="62"/>
        <item x="415"/>
        <item x="230"/>
        <item x="236"/>
        <item x="437"/>
        <item x="257"/>
        <item x="323"/>
        <item x="470"/>
        <item x="14"/>
        <item x="397"/>
        <item x="224"/>
        <item x="373"/>
        <item x="378"/>
        <item x="276"/>
        <item x="84"/>
        <item x="441"/>
        <item x="251"/>
        <item x="305"/>
        <item x="42"/>
        <item x="234"/>
        <item x="144"/>
        <item x="380"/>
        <item x="120"/>
        <item x="10"/>
        <item x="279"/>
        <item x="88"/>
        <item x="241"/>
        <item x="314"/>
        <item x="356"/>
        <item x="331"/>
        <item x="319"/>
        <item x="349"/>
        <item x="262"/>
        <item x="404"/>
        <item x="19"/>
        <item x="209"/>
        <item x="97"/>
        <item x="393"/>
        <item x="430"/>
        <item x="429"/>
        <item x="271"/>
        <item x="244"/>
        <item x="206"/>
        <item x="135"/>
        <item x="303"/>
        <item x="399"/>
        <item x="28"/>
        <item x="112"/>
        <item x="85"/>
        <item x="16"/>
        <item x="179"/>
        <item x="425"/>
        <item x="372"/>
        <item x="3"/>
        <item x="173"/>
        <item x="387"/>
        <item x="174"/>
        <item x="127"/>
        <item x="34"/>
        <item x="374"/>
        <item x="68"/>
        <item x="11"/>
        <item x="286"/>
        <item x="40"/>
        <item x="123"/>
        <item x="313"/>
        <item x="15"/>
        <item x="50"/>
        <item x="161"/>
        <item x="110"/>
        <item x="275"/>
        <item x="340"/>
        <item x="212"/>
        <item x="193"/>
        <item x="324"/>
        <item x="335"/>
        <item x="92"/>
        <item x="215"/>
        <item x="293"/>
        <item x="265"/>
        <item x="115"/>
        <item x="78"/>
        <item x="315"/>
        <item x="8"/>
        <item x="270"/>
        <item x="223"/>
        <item x="137"/>
        <item x="266"/>
        <item x="141"/>
        <item x="21"/>
        <item x="126"/>
        <item x="433"/>
        <item x="35"/>
        <item x="334"/>
        <item x="246"/>
        <item x="292"/>
        <item x="199"/>
        <item x="65"/>
        <item x="190"/>
        <item x="379"/>
        <item x="306"/>
        <item x="219"/>
        <item x="7"/>
        <item x="383"/>
        <item x="294"/>
        <item x="341"/>
        <item x="417"/>
        <item x="304"/>
        <item x="187"/>
        <item x="446"/>
        <item x="81"/>
        <item x="128"/>
        <item x="83"/>
        <item x="70"/>
        <item x="96"/>
        <item x="113"/>
        <item x="214"/>
        <item x="124"/>
        <item x="337"/>
        <item x="49"/>
        <item x="401"/>
        <item x="210"/>
        <item x="360"/>
        <item x="278"/>
        <item x="347"/>
        <item x="398"/>
        <item x="237"/>
        <item x="273"/>
        <item x="333"/>
        <item x="157"/>
        <item x="55"/>
        <item x="221"/>
        <item x="438"/>
        <item x="66"/>
        <item x="114"/>
        <item x="208"/>
        <item x="60"/>
        <item x="76"/>
        <item x="394"/>
        <item x="354"/>
        <item x="228"/>
        <item x="461"/>
        <item x="326"/>
        <item x="351"/>
        <item x="316"/>
        <item x="58"/>
        <item x="410"/>
        <item x="90"/>
        <item x="227"/>
        <item x="269"/>
        <item x="213"/>
        <item x="148"/>
        <item x="80"/>
        <item x="4"/>
        <item x="336"/>
        <item x="162"/>
        <item x="413"/>
        <item x="170"/>
        <item x="48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ase_No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3:E7" firstHeaderRow="1" firstDataRow="1" firstDataCol="1"/>
  <pivotFields count="21">
    <pivotField compact="0" showAll="0">
      <items count="14">
        <item h="1" x="10"/>
        <item x="0"/>
        <item h="1" x="6"/>
        <item h="1" x="11"/>
        <item h="1" x="9"/>
        <item h="1" x="3"/>
        <item h="1" x="7"/>
        <item h="1" x="2"/>
        <item h="1" x="5"/>
        <item h="1" x="1"/>
        <item h="1" x="4"/>
        <item h="1" x="8"/>
        <item h="1" x="12"/>
        <item t="default"/>
      </items>
    </pivotField>
    <pivotField compact="0" showAll="0">
      <items count="500">
        <item x="398"/>
        <item x="272"/>
        <item x="345"/>
        <item x="344"/>
        <item x="74"/>
        <item x="206"/>
        <item x="300"/>
        <item x="289"/>
        <item x="338"/>
        <item x="386"/>
        <item x="39"/>
        <item x="320"/>
        <item x="329"/>
        <item x="286"/>
        <item x="162"/>
        <item x="467"/>
        <item x="343"/>
        <item x="369"/>
        <item x="399"/>
        <item x="316"/>
        <item x="61"/>
        <item x="310"/>
        <item x="73"/>
        <item x="198"/>
        <item x="347"/>
        <item x="83"/>
        <item x="384"/>
        <item x="45"/>
        <item x="395"/>
        <item x="41"/>
        <item x="357"/>
        <item x="118"/>
        <item x="17"/>
        <item x="396"/>
        <item x="158"/>
        <item x="177"/>
        <item x="379"/>
        <item x="252"/>
        <item x="227"/>
        <item x="194"/>
        <item x="325"/>
        <item x="407"/>
        <item x="80"/>
        <item x="448"/>
        <item x="199"/>
        <item x="173"/>
        <item x="474"/>
        <item x="290"/>
        <item x="87"/>
        <item x="388"/>
        <item x="79"/>
        <item x="15"/>
        <item x="317"/>
        <item x="82"/>
        <item x="307"/>
        <item x="0"/>
        <item x="37"/>
        <item x="225"/>
        <item x="277"/>
        <item x="443"/>
        <item x="223"/>
        <item x="362"/>
        <item x="283"/>
        <item x="282"/>
        <item x="372"/>
        <item x="258"/>
        <item x="442"/>
        <item x="204"/>
        <item x="169"/>
        <item x="445"/>
        <item x="103"/>
        <item x="322"/>
        <item x="181"/>
        <item x="220"/>
        <item x="119"/>
        <item x="268"/>
        <item x="333"/>
        <item x="27"/>
        <item x="421"/>
        <item x="21"/>
        <item x="251"/>
        <item x="472"/>
        <item x="435"/>
        <item x="458"/>
        <item x="35"/>
        <item x="381"/>
        <item x="32"/>
        <item x="346"/>
        <item x="249"/>
        <item x="434"/>
        <item x="122"/>
        <item x="31"/>
        <item x="202"/>
        <item x="184"/>
        <item x="203"/>
        <item x="405"/>
        <item x="43"/>
        <item x="260"/>
        <item x="160"/>
        <item x="63"/>
        <item x="134"/>
        <item x="409"/>
        <item x="22"/>
        <item x="385"/>
        <item x="42"/>
        <item x="490"/>
        <item x="337"/>
        <item x="371"/>
        <item x="152"/>
        <item x="163"/>
        <item x="234"/>
        <item x="461"/>
        <item x="400"/>
        <item x="473"/>
        <item x="66"/>
        <item x="125"/>
        <item x="136"/>
        <item x="218"/>
        <item x="9"/>
        <item x="65"/>
        <item x="353"/>
        <item x="92"/>
        <item x="331"/>
        <item x="356"/>
        <item x="330"/>
        <item x="486"/>
        <item x="7"/>
        <item x="422"/>
        <item x="67"/>
        <item x="116"/>
        <item x="195"/>
        <item x="416"/>
        <item x="430"/>
        <item x="117"/>
        <item x="8"/>
        <item x="243"/>
        <item x="387"/>
        <item x="278"/>
        <item x="4"/>
        <item x="447"/>
        <item x="72"/>
        <item x="313"/>
        <item x="33"/>
        <item x="354"/>
        <item x="159"/>
        <item x="340"/>
        <item x="295"/>
        <item x="137"/>
        <item x="468"/>
        <item x="425"/>
        <item x="301"/>
        <item x="449"/>
        <item x="25"/>
        <item x="248"/>
        <item x="247"/>
        <item x="298"/>
        <item x="485"/>
        <item x="465"/>
        <item x="53"/>
        <item x="24"/>
        <item x="94"/>
        <item x="106"/>
        <item x="131"/>
        <item x="145"/>
        <item x="237"/>
        <item x="126"/>
        <item x="488"/>
        <item x="476"/>
        <item x="20"/>
        <item x="495"/>
        <item x="264"/>
        <item x="245"/>
        <item x="129"/>
        <item x="127"/>
        <item x="406"/>
        <item x="75"/>
        <item x="269"/>
        <item x="410"/>
        <item x="133"/>
        <item x="257"/>
        <item x="113"/>
        <item x="308"/>
        <item x="51"/>
        <item x="454"/>
        <item x="439"/>
        <item x="84"/>
        <item x="186"/>
        <item x="459"/>
        <item x="404"/>
        <item x="457"/>
        <item x="71"/>
        <item x="123"/>
        <item x="426"/>
        <item x="469"/>
        <item x="231"/>
        <item x="276"/>
        <item x="451"/>
        <item x="46"/>
        <item x="294"/>
        <item x="491"/>
        <item x="120"/>
        <item x="132"/>
        <item x="255"/>
        <item x="299"/>
        <item x="432"/>
        <item x="188"/>
        <item x="420"/>
        <item x="368"/>
        <item x="380"/>
        <item x="332"/>
        <item x="5"/>
        <item x="291"/>
        <item x="36"/>
        <item x="370"/>
        <item x="297"/>
        <item x="413"/>
        <item x="402"/>
        <item x="146"/>
        <item x="436"/>
        <item x="111"/>
        <item x="209"/>
        <item x="471"/>
        <item x="441"/>
        <item x="18"/>
        <item x="208"/>
        <item x="470"/>
        <item x="121"/>
        <item x="284"/>
        <item x="267"/>
        <item x="143"/>
        <item x="228"/>
        <item x="150"/>
        <item x="217"/>
        <item x="62"/>
        <item x="166"/>
        <item x="55"/>
        <item x="374"/>
        <item x="128"/>
        <item x="437"/>
        <item x="394"/>
        <item x="497"/>
        <item x="107"/>
        <item x="302"/>
        <item x="48"/>
        <item x="216"/>
        <item x="200"/>
        <item x="390"/>
        <item x="211"/>
        <item x="178"/>
        <item x="77"/>
        <item x="494"/>
        <item x="492"/>
        <item x="6"/>
        <item x="246"/>
        <item x="155"/>
        <item x="147"/>
        <item x="105"/>
        <item x="60"/>
        <item x="428"/>
        <item x="375"/>
        <item x="38"/>
        <item x="424"/>
        <item x="414"/>
        <item x="288"/>
        <item x="306"/>
        <item x="480"/>
        <item x="377"/>
        <item x="489"/>
        <item x="261"/>
        <item x="154"/>
        <item x="254"/>
        <item x="205"/>
        <item x="477"/>
        <item x="69"/>
        <item x="419"/>
        <item x="207"/>
        <item x="475"/>
        <item x="34"/>
        <item x="427"/>
        <item x="96"/>
        <item x="176"/>
        <item x="482"/>
        <item x="285"/>
        <item x="463"/>
        <item x="478"/>
        <item x="197"/>
        <item x="47"/>
        <item x="412"/>
        <item x="187"/>
        <item x="19"/>
        <item x="164"/>
        <item x="30"/>
        <item x="219"/>
        <item x="464"/>
        <item x="124"/>
        <item x="349"/>
        <item x="453"/>
        <item x="393"/>
        <item x="266"/>
        <item x="171"/>
        <item x="450"/>
        <item x="201"/>
        <item x="100"/>
        <item x="397"/>
        <item x="484"/>
        <item x="174"/>
        <item x="324"/>
        <item x="493"/>
        <item x="98"/>
        <item x="378"/>
        <item x="157"/>
        <item x="242"/>
        <item x="455"/>
        <item x="172"/>
        <item x="417"/>
        <item x="281"/>
        <item x="115"/>
        <item x="99"/>
        <item x="68"/>
        <item x="481"/>
        <item x="431"/>
        <item x="323"/>
        <item x="270"/>
        <item x="1"/>
        <item x="483"/>
        <item x="151"/>
        <item x="341"/>
        <item x="229"/>
        <item x="321"/>
        <item x="318"/>
        <item x="358"/>
        <item x="140"/>
        <item x="235"/>
        <item x="210"/>
        <item x="49"/>
        <item x="326"/>
        <item x="312"/>
        <item x="135"/>
        <item x="287"/>
        <item x="114"/>
        <item x="86"/>
        <item x="438"/>
        <item x="165"/>
        <item x="373"/>
        <item x="365"/>
        <item x="429"/>
        <item x="479"/>
        <item x="40"/>
        <item x="403"/>
        <item x="389"/>
        <item x="273"/>
        <item x="226"/>
        <item x="196"/>
        <item x="292"/>
        <item x="180"/>
        <item x="175"/>
        <item x="212"/>
        <item x="230"/>
        <item x="259"/>
        <item x="236"/>
        <item x="383"/>
        <item x="161"/>
        <item x="56"/>
        <item x="130"/>
        <item x="256"/>
        <item x="304"/>
        <item x="238"/>
        <item x="102"/>
        <item x="376"/>
        <item x="11"/>
        <item x="392"/>
        <item x="241"/>
        <item x="213"/>
        <item x="156"/>
        <item x="408"/>
        <item x="144"/>
        <item x="363"/>
        <item x="233"/>
        <item x="335"/>
        <item x="314"/>
        <item x="101"/>
        <item x="97"/>
        <item x="265"/>
        <item x="305"/>
        <item x="189"/>
        <item x="415"/>
        <item x="112"/>
        <item x="452"/>
        <item x="224"/>
        <item x="487"/>
        <item x="58"/>
        <item x="138"/>
        <item x="191"/>
        <item x="244"/>
        <item x="215"/>
        <item x="90"/>
        <item x="185"/>
        <item x="359"/>
        <item x="351"/>
        <item x="95"/>
        <item x="50"/>
        <item x="153"/>
        <item x="336"/>
        <item x="382"/>
        <item x="13"/>
        <item x="240"/>
        <item x="366"/>
        <item x="348"/>
        <item x="23"/>
        <item x="293"/>
        <item x="104"/>
        <item x="52"/>
        <item x="44"/>
        <item x="81"/>
        <item x="110"/>
        <item x="315"/>
        <item x="88"/>
        <item x="367"/>
        <item x="460"/>
        <item x="12"/>
        <item x="89"/>
        <item x="222"/>
        <item x="364"/>
        <item x="274"/>
        <item x="149"/>
        <item x="355"/>
        <item x="279"/>
        <item x="59"/>
        <item x="142"/>
        <item x="334"/>
        <item x="109"/>
        <item x="167"/>
        <item x="328"/>
        <item x="3"/>
        <item x="418"/>
        <item x="57"/>
        <item x="280"/>
        <item x="311"/>
        <item x="16"/>
        <item x="401"/>
        <item x="64"/>
        <item x="78"/>
        <item x="327"/>
        <item x="239"/>
        <item x="91"/>
        <item x="342"/>
        <item x="339"/>
        <item x="440"/>
        <item x="28"/>
        <item x="141"/>
        <item x="303"/>
        <item x="168"/>
        <item x="214"/>
        <item x="466"/>
        <item x="29"/>
        <item x="232"/>
        <item x="26"/>
        <item x="85"/>
        <item x="76"/>
        <item x="361"/>
        <item x="221"/>
        <item x="192"/>
        <item x="179"/>
        <item x="253"/>
        <item x="263"/>
        <item x="433"/>
        <item x="423"/>
        <item x="193"/>
        <item x="446"/>
        <item x="70"/>
        <item x="139"/>
        <item x="262"/>
        <item x="462"/>
        <item x="275"/>
        <item x="170"/>
        <item x="183"/>
        <item x="14"/>
        <item x="182"/>
        <item x="148"/>
        <item x="250"/>
        <item x="496"/>
        <item x="2"/>
        <item x="352"/>
        <item x="108"/>
        <item x="360"/>
        <item x="296"/>
        <item x="456"/>
        <item x="444"/>
        <item x="93"/>
        <item x="411"/>
        <item x="350"/>
        <item x="391"/>
        <item x="54"/>
        <item x="271"/>
        <item x="10"/>
        <item x="190"/>
        <item x="309"/>
        <item x="319"/>
        <item x="498"/>
        <item t="default"/>
      </items>
    </pivotField>
    <pivotField compact="0" showAll="0">
      <items count="53">
        <item x="43"/>
        <item x="17"/>
        <item x="32"/>
        <item x="6"/>
        <item x="7"/>
        <item x="15"/>
        <item x="40"/>
        <item x="37"/>
        <item x="31"/>
        <item x="38"/>
        <item x="48"/>
        <item x="46"/>
        <item x="25"/>
        <item x="26"/>
        <item x="30"/>
        <item x="34"/>
        <item x="41"/>
        <item x="49"/>
        <item x="9"/>
        <item x="33"/>
        <item x="11"/>
        <item x="50"/>
        <item x="44"/>
        <item x="42"/>
        <item x="8"/>
        <item x="45"/>
        <item x="1"/>
        <item x="24"/>
        <item x="5"/>
        <item x="23"/>
        <item x="39"/>
        <item x="35"/>
        <item x="13"/>
        <item x="21"/>
        <item x="47"/>
        <item x="2"/>
        <item x="3"/>
        <item x="18"/>
        <item x="20"/>
        <item x="22"/>
        <item x="16"/>
        <item x="10"/>
        <item x="14"/>
        <item x="12"/>
        <item x="28"/>
        <item x="4"/>
        <item x="36"/>
        <item x="0"/>
        <item x="27"/>
        <item x="19"/>
        <item x="29"/>
        <item x="51"/>
        <item t="default"/>
      </items>
    </pivotField>
    <pivotField compact="0" showAll="0">
      <items count="16">
        <item x="11"/>
        <item x="13"/>
        <item x="2"/>
        <item x="3"/>
        <item x="8"/>
        <item x="1"/>
        <item x="10"/>
        <item x="12"/>
        <item x="6"/>
        <item x="0"/>
        <item x="7"/>
        <item x="9"/>
        <item x="4"/>
        <item x="5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4"/>
        <item x="5"/>
        <item x="8"/>
        <item x="2"/>
        <item x="7"/>
        <item x="3"/>
        <item x="6"/>
        <item x="9"/>
        <item x="1"/>
        <item x="10"/>
        <item t="default"/>
      </items>
    </pivotField>
    <pivotField compact="0" showAll="0">
      <items count="12">
        <item x="5"/>
        <item x="9"/>
        <item x="7"/>
        <item x="8"/>
        <item x="6"/>
        <item x="1"/>
        <item x="3"/>
        <item x="0"/>
        <item x="2"/>
        <item x="4"/>
        <item x="10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94">
        <item x="6"/>
        <item x="105"/>
        <item x="120"/>
        <item x="287"/>
        <item x="260"/>
        <item x="283"/>
        <item x="179"/>
        <item x="191"/>
        <item x="91"/>
        <item x="273"/>
        <item x="131"/>
        <item x="266"/>
        <item x="107"/>
        <item x="185"/>
        <item x="228"/>
        <item x="233"/>
        <item x="269"/>
        <item x="10"/>
        <item x="146"/>
        <item x="224"/>
        <item x="63"/>
        <item x="281"/>
        <item x="61"/>
        <item x="127"/>
        <item x="144"/>
        <item x="67"/>
        <item x="245"/>
        <item x="248"/>
        <item x="111"/>
        <item x="164"/>
        <item x="157"/>
        <item x="244"/>
        <item x="192"/>
        <item x="227"/>
        <item x="143"/>
        <item x="152"/>
        <item x="16"/>
        <item x="19"/>
        <item x="288"/>
        <item x="217"/>
        <item x="24"/>
        <item x="121"/>
        <item x="135"/>
        <item x="132"/>
        <item x="41"/>
        <item x="137"/>
        <item x="25"/>
        <item x="22"/>
        <item x="184"/>
        <item x="284"/>
        <item x="194"/>
        <item x="212"/>
        <item x="18"/>
        <item x="28"/>
        <item x="197"/>
        <item x="261"/>
        <item x="126"/>
        <item x="119"/>
        <item x="290"/>
        <item x="114"/>
        <item x="92"/>
        <item x="247"/>
        <item x="262"/>
        <item x="57"/>
        <item x="37"/>
        <item x="80"/>
        <item x="289"/>
        <item x="58"/>
        <item x="34"/>
        <item x="42"/>
        <item x="141"/>
        <item x="82"/>
        <item x="1"/>
        <item x="241"/>
        <item x="178"/>
        <item x="77"/>
        <item x="249"/>
        <item x="20"/>
        <item x="94"/>
        <item x="286"/>
        <item x="47"/>
        <item x="140"/>
        <item x="230"/>
        <item x="165"/>
        <item x="36"/>
        <item x="151"/>
        <item x="29"/>
        <item x="238"/>
        <item x="242"/>
        <item x="190"/>
        <item x="115"/>
        <item x="117"/>
        <item x="3"/>
        <item x="50"/>
        <item x="246"/>
        <item x="110"/>
        <item x="72"/>
        <item x="98"/>
        <item x="145"/>
        <item x="89"/>
        <item x="56"/>
        <item x="182"/>
        <item x="100"/>
        <item x="275"/>
        <item x="276"/>
        <item x="83"/>
        <item x="142"/>
        <item x="220"/>
        <item x="147"/>
        <item x="74"/>
        <item x="168"/>
        <item x="268"/>
        <item x="169"/>
        <item x="234"/>
        <item x="7"/>
        <item x="159"/>
        <item x="43"/>
        <item x="38"/>
        <item x="31"/>
        <item x="198"/>
        <item x="52"/>
        <item x="218"/>
        <item x="4"/>
        <item x="62"/>
        <item x="102"/>
        <item x="253"/>
        <item x="204"/>
        <item x="68"/>
        <item x="263"/>
        <item x="35"/>
        <item x="161"/>
        <item x="5"/>
        <item x="73"/>
        <item x="93"/>
        <item x="254"/>
        <item x="90"/>
        <item x="229"/>
        <item x="208"/>
        <item x="65"/>
        <item x="125"/>
        <item x="8"/>
        <item x="48"/>
        <item x="206"/>
        <item x="291"/>
        <item x="23"/>
        <item x="160"/>
        <item x="226"/>
        <item x="12"/>
        <item x="250"/>
        <item x="32"/>
        <item x="207"/>
        <item x="39"/>
        <item x="0"/>
        <item x="213"/>
        <item x="271"/>
        <item x="21"/>
        <item x="45"/>
        <item x="156"/>
        <item x="14"/>
        <item x="96"/>
        <item x="188"/>
        <item x="189"/>
        <item x="183"/>
        <item x="108"/>
        <item x="30"/>
        <item x="221"/>
        <item x="101"/>
        <item x="139"/>
        <item x="196"/>
        <item x="87"/>
        <item x="201"/>
        <item x="17"/>
        <item x="219"/>
        <item x="148"/>
        <item x="239"/>
        <item x="255"/>
        <item x="265"/>
        <item x="170"/>
        <item x="153"/>
        <item x="79"/>
        <item x="40"/>
        <item x="150"/>
        <item x="187"/>
        <item x="257"/>
        <item x="2"/>
        <item x="88"/>
        <item x="99"/>
        <item x="104"/>
        <item x="136"/>
        <item x="78"/>
        <item x="69"/>
        <item x="167"/>
        <item x="26"/>
        <item x="116"/>
        <item x="181"/>
        <item x="240"/>
        <item x="124"/>
        <item x="186"/>
        <item x="236"/>
        <item x="44"/>
        <item x="278"/>
        <item x="70"/>
        <item x="33"/>
        <item x="84"/>
        <item x="53"/>
        <item x="202"/>
        <item x="172"/>
        <item x="149"/>
        <item x="162"/>
        <item x="106"/>
        <item x="195"/>
        <item x="277"/>
        <item x="180"/>
        <item x="112"/>
        <item x="13"/>
        <item x="11"/>
        <item x="54"/>
        <item x="97"/>
        <item x="258"/>
        <item x="27"/>
        <item x="138"/>
        <item x="46"/>
        <item x="225"/>
        <item x="231"/>
        <item x="237"/>
        <item x="9"/>
        <item x="193"/>
        <item x="209"/>
        <item x="85"/>
        <item x="59"/>
        <item x="175"/>
        <item x="243"/>
        <item x="133"/>
        <item x="174"/>
        <item x="103"/>
        <item x="66"/>
        <item x="270"/>
        <item x="256"/>
        <item x="171"/>
        <item x="216"/>
        <item x="113"/>
        <item x="128"/>
        <item x="232"/>
        <item x="109"/>
        <item x="177"/>
        <item x="199"/>
        <item x="280"/>
        <item x="163"/>
        <item x="155"/>
        <item x="210"/>
        <item x="267"/>
        <item x="76"/>
        <item x="158"/>
        <item x="251"/>
        <item x="130"/>
        <item x="15"/>
        <item x="285"/>
        <item x="55"/>
        <item x="215"/>
        <item x="274"/>
        <item x="154"/>
        <item x="222"/>
        <item x="118"/>
        <item x="279"/>
        <item x="252"/>
        <item x="282"/>
        <item x="176"/>
        <item x="272"/>
        <item x="95"/>
        <item x="223"/>
        <item x="81"/>
        <item x="122"/>
        <item x="259"/>
        <item x="214"/>
        <item x="264"/>
        <item x="75"/>
        <item x="86"/>
        <item x="71"/>
        <item x="51"/>
        <item x="200"/>
        <item x="60"/>
        <item x="129"/>
        <item x="123"/>
        <item x="211"/>
        <item x="49"/>
        <item x="205"/>
        <item x="235"/>
        <item x="64"/>
        <item x="166"/>
        <item x="203"/>
        <item x="134"/>
        <item x="173"/>
        <item x="292"/>
        <item t="default"/>
      </items>
    </pivotField>
    <pivotField compact="0" showAll="0">
      <items count="12">
        <item x="8"/>
        <item x="0"/>
        <item x="6"/>
        <item x="5"/>
        <item x="7"/>
        <item x="2"/>
        <item x="4"/>
        <item x="3"/>
        <item x="1"/>
        <item x="9"/>
        <item x="10"/>
        <item t="default"/>
      </items>
    </pivotField>
    <pivotField compact="0" showAll="0">
      <items count="8">
        <item x="1"/>
        <item x="3"/>
        <item x="2"/>
        <item x="0"/>
        <item x="5"/>
        <item x="4"/>
        <item x="6"/>
        <item t="default"/>
      </items>
    </pivotField>
    <pivotField compact="0" showAll="0">
      <items count="12">
        <item x="5"/>
        <item x="1"/>
        <item x="8"/>
        <item x="4"/>
        <item x="2"/>
        <item x="3"/>
        <item x="9"/>
        <item x="0"/>
        <item x="7"/>
        <item x="6"/>
        <item x="10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multipleItemSelectionAllowed="1" showAll="0">
      <items count="5">
        <item x="2"/>
        <item x="1"/>
        <item x="0"/>
        <item h="1" x="3"/>
        <item t="default"/>
      </items>
    </pivotField>
    <pivotField compact="0" showAll="0">
      <items count="10">
        <item x="0"/>
        <item x="5"/>
        <item x="6"/>
        <item x="4"/>
        <item x="2"/>
        <item x="1"/>
        <item x="3"/>
        <item x="7"/>
        <item x="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31">
        <item x="1"/>
        <item x="19"/>
        <item x="61"/>
        <item x="136"/>
        <item x="153"/>
        <item x="20"/>
        <item x="167"/>
        <item x="145"/>
        <item x="211"/>
        <item x="100"/>
        <item x="105"/>
        <item x="209"/>
        <item x="213"/>
        <item x="216"/>
        <item x="0"/>
        <item x="51"/>
        <item x="140"/>
        <item x="94"/>
        <item x="74"/>
        <item x="39"/>
        <item x="96"/>
        <item x="212"/>
        <item x="189"/>
        <item x="102"/>
        <item x="32"/>
        <item x="9"/>
        <item x="178"/>
        <item x="7"/>
        <item x="56"/>
        <item x="214"/>
        <item x="122"/>
        <item x="17"/>
        <item x="57"/>
        <item x="13"/>
        <item x="217"/>
        <item x="64"/>
        <item x="170"/>
        <item x="12"/>
        <item x="15"/>
        <item x="218"/>
        <item x="89"/>
        <item x="55"/>
        <item x="196"/>
        <item x="82"/>
        <item x="225"/>
        <item x="116"/>
        <item x="108"/>
        <item x="117"/>
        <item x="163"/>
        <item x="174"/>
        <item x="109"/>
        <item x="26"/>
        <item x="228"/>
        <item x="199"/>
        <item x="68"/>
        <item x="2"/>
        <item x="123"/>
        <item x="54"/>
        <item x="16"/>
        <item x="181"/>
        <item x="195"/>
        <item x="88"/>
        <item x="127"/>
        <item x="171"/>
        <item x="80"/>
        <item x="222"/>
        <item x="143"/>
        <item x="41"/>
        <item x="118"/>
        <item x="78"/>
        <item x="142"/>
        <item x="53"/>
        <item x="46"/>
        <item x="210"/>
        <item x="205"/>
        <item x="208"/>
        <item x="168"/>
        <item x="180"/>
        <item x="192"/>
        <item x="147"/>
        <item x="125"/>
        <item x="119"/>
        <item x="154"/>
        <item x="131"/>
        <item x="73"/>
        <item x="11"/>
        <item x="49"/>
        <item x="22"/>
        <item x="219"/>
        <item x="115"/>
        <item x="124"/>
        <item x="99"/>
        <item x="14"/>
        <item x="103"/>
        <item x="165"/>
        <item x="173"/>
        <item x="202"/>
        <item x="67"/>
        <item x="188"/>
        <item x="21"/>
        <item x="85"/>
        <item x="206"/>
        <item x="151"/>
        <item x="176"/>
        <item x="31"/>
        <item x="66"/>
        <item x="128"/>
        <item x="111"/>
        <item x="92"/>
        <item x="166"/>
        <item x="86"/>
        <item x="44"/>
        <item x="112"/>
        <item x="48"/>
        <item x="75"/>
        <item x="3"/>
        <item x="30"/>
        <item x="146"/>
        <item x="18"/>
        <item x="113"/>
        <item x="120"/>
        <item x="223"/>
        <item x="184"/>
        <item x="69"/>
        <item x="182"/>
        <item x="148"/>
        <item x="114"/>
        <item x="193"/>
        <item x="6"/>
        <item x="10"/>
        <item x="215"/>
        <item x="207"/>
        <item x="90"/>
        <item x="175"/>
        <item x="60"/>
        <item x="110"/>
        <item x="161"/>
        <item x="149"/>
        <item x="185"/>
        <item x="63"/>
        <item x="106"/>
        <item x="43"/>
        <item x="47"/>
        <item x="204"/>
        <item x="45"/>
        <item x="134"/>
        <item x="139"/>
        <item x="76"/>
        <item x="4"/>
        <item x="29"/>
        <item x="101"/>
        <item x="84"/>
        <item x="91"/>
        <item x="177"/>
        <item x="5"/>
        <item x="24"/>
        <item x="8"/>
        <item x="133"/>
        <item x="71"/>
        <item x="132"/>
        <item x="126"/>
        <item x="104"/>
        <item x="40"/>
        <item x="203"/>
        <item x="135"/>
        <item x="144"/>
        <item x="162"/>
        <item x="156"/>
        <item x="70"/>
        <item x="129"/>
        <item x="23"/>
        <item x="34"/>
        <item x="36"/>
        <item x="186"/>
        <item x="93"/>
        <item x="79"/>
        <item x="87"/>
        <item x="95"/>
        <item x="107"/>
        <item x="200"/>
        <item x="52"/>
        <item x="220"/>
        <item x="152"/>
        <item x="201"/>
        <item x="42"/>
        <item x="224"/>
        <item x="33"/>
        <item x="81"/>
        <item x="77"/>
        <item x="197"/>
        <item x="194"/>
        <item x="58"/>
        <item x="158"/>
        <item x="226"/>
        <item x="72"/>
        <item x="190"/>
        <item x="183"/>
        <item x="62"/>
        <item x="227"/>
        <item x="198"/>
        <item x="141"/>
        <item x="28"/>
        <item x="138"/>
        <item x="164"/>
        <item x="97"/>
        <item x="38"/>
        <item x="159"/>
        <item x="187"/>
        <item x="137"/>
        <item x="221"/>
        <item x="172"/>
        <item x="121"/>
        <item x="155"/>
        <item x="98"/>
        <item x="59"/>
        <item x="179"/>
        <item x="35"/>
        <item x="65"/>
        <item x="191"/>
        <item x="37"/>
        <item x="130"/>
        <item x="150"/>
        <item x="27"/>
        <item x="169"/>
        <item x="25"/>
        <item x="50"/>
        <item x="157"/>
        <item x="160"/>
        <item x="83"/>
        <item x="229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dataField="1" compact="0" showAll="0">
      <items count="484">
        <item x="362"/>
        <item x="439"/>
        <item x="307"/>
        <item x="26"/>
        <item x="384"/>
        <item x="167"/>
        <item x="176"/>
        <item x="290"/>
        <item x="464"/>
        <item x="159"/>
        <item x="465"/>
        <item x="359"/>
        <item x="247"/>
        <item x="74"/>
        <item x="253"/>
        <item x="426"/>
        <item x="185"/>
        <item x="285"/>
        <item x="409"/>
        <item x="191"/>
        <item x="169"/>
        <item x="89"/>
        <item x="343"/>
        <item x="454"/>
        <item x="44"/>
        <item x="107"/>
        <item x="396"/>
        <item x="163"/>
        <item x="385"/>
        <item x="130"/>
        <item x="48"/>
        <item x="63"/>
        <item x="390"/>
        <item x="424"/>
        <item x="423"/>
        <item x="252"/>
        <item x="348"/>
        <item x="367"/>
        <item x="201"/>
        <item x="197"/>
        <item x="41"/>
        <item x="6"/>
        <item x="37"/>
        <item x="325"/>
        <item x="254"/>
        <item x="312"/>
        <item x="272"/>
        <item x="452"/>
        <item x="132"/>
        <item x="342"/>
        <item x="473"/>
        <item x="125"/>
        <item x="418"/>
        <item x="355"/>
        <item x="91"/>
        <item x="321"/>
        <item x="435"/>
        <item x="23"/>
        <item x="260"/>
        <item x="445"/>
        <item x="151"/>
        <item x="450"/>
        <item x="320"/>
        <item x="72"/>
        <item x="467"/>
        <item x="469"/>
        <item x="363"/>
        <item x="420"/>
        <item x="364"/>
        <item x="101"/>
        <item x="31"/>
        <item x="375"/>
        <item x="242"/>
        <item x="291"/>
        <item x="322"/>
        <item x="0"/>
        <item x="192"/>
        <item x="298"/>
        <item x="289"/>
        <item x="277"/>
        <item x="2"/>
        <item x="29"/>
        <item x="51"/>
        <item x="259"/>
        <item x="250"/>
        <item x="39"/>
        <item x="449"/>
        <item x="232"/>
        <item x="136"/>
        <item x="381"/>
        <item x="460"/>
        <item x="422"/>
        <item x="75"/>
        <item x="195"/>
        <item x="134"/>
        <item x="256"/>
        <item x="226"/>
        <item x="105"/>
        <item x="345"/>
        <item x="177"/>
        <item x="93"/>
        <item x="218"/>
        <item x="327"/>
        <item x="318"/>
        <item x="180"/>
        <item x="200"/>
        <item x="377"/>
        <item x="442"/>
        <item x="431"/>
        <item x="238"/>
        <item x="245"/>
        <item x="99"/>
        <item x="370"/>
        <item x="466"/>
        <item x="412"/>
        <item x="299"/>
        <item x="281"/>
        <item x="154"/>
        <item x="117"/>
        <item x="248"/>
        <item x="416"/>
        <item x="352"/>
        <item x="36"/>
        <item x="189"/>
        <item x="73"/>
        <item x="477"/>
        <item x="204"/>
        <item x="79"/>
        <item x="346"/>
        <item x="45"/>
        <item x="17"/>
        <item x="451"/>
        <item x="207"/>
        <item x="408"/>
        <item x="233"/>
        <item x="249"/>
        <item x="9"/>
        <item x="222"/>
        <item x="18"/>
        <item x="350"/>
        <item x="183"/>
        <item x="357"/>
        <item x="145"/>
        <item x="142"/>
        <item x="106"/>
        <item x="129"/>
        <item x="194"/>
        <item x="182"/>
        <item x="140"/>
        <item x="274"/>
        <item x="427"/>
        <item x="155"/>
        <item x="25"/>
        <item x="86"/>
        <item x="67"/>
        <item x="71"/>
        <item x="231"/>
        <item x="328"/>
        <item x="5"/>
        <item x="353"/>
        <item x="308"/>
        <item x="203"/>
        <item x="339"/>
        <item x="414"/>
        <item x="54"/>
        <item x="168"/>
        <item x="311"/>
        <item x="395"/>
        <item x="158"/>
        <item x="53"/>
        <item x="280"/>
        <item x="77"/>
        <item x="476"/>
        <item x="261"/>
        <item x="220"/>
        <item x="428"/>
        <item x="1"/>
        <item x="181"/>
        <item x="22"/>
        <item x="198"/>
        <item x="432"/>
        <item x="205"/>
        <item x="196"/>
        <item x="434"/>
        <item x="332"/>
        <item x="400"/>
        <item x="94"/>
        <item x="122"/>
        <item x="111"/>
        <item x="297"/>
        <item x="166"/>
        <item x="118"/>
        <item x="302"/>
        <item x="371"/>
        <item x="27"/>
        <item x="32"/>
        <item x="407"/>
        <item x="287"/>
        <item x="358"/>
        <item x="288"/>
        <item x="146"/>
        <item x="444"/>
        <item x="164"/>
        <item x="153"/>
        <item x="38"/>
        <item x="406"/>
        <item x="69"/>
        <item x="458"/>
        <item x="475"/>
        <item x="138"/>
        <item x="178"/>
        <item x="87"/>
        <item x="43"/>
        <item x="116"/>
        <item x="443"/>
        <item x="121"/>
        <item x="131"/>
        <item x="264"/>
        <item x="411"/>
        <item x="388"/>
        <item x="46"/>
        <item x="309"/>
        <item x="481"/>
        <item x="479"/>
        <item x="171"/>
        <item x="24"/>
        <item x="102"/>
        <item x="365"/>
        <item x="330"/>
        <item x="455"/>
        <item x="30"/>
        <item x="103"/>
        <item x="284"/>
        <item x="109"/>
        <item x="175"/>
        <item x="392"/>
        <item x="143"/>
        <item x="447"/>
        <item x="402"/>
        <item x="382"/>
        <item x="152"/>
        <item x="478"/>
        <item x="456"/>
        <item x="474"/>
        <item x="165"/>
        <item x="235"/>
        <item x="100"/>
        <item x="295"/>
        <item x="149"/>
        <item x="56"/>
        <item x="361"/>
        <item x="344"/>
        <item x="263"/>
        <item x="268"/>
        <item x="147"/>
        <item x="310"/>
        <item x="240"/>
        <item x="258"/>
        <item x="108"/>
        <item x="300"/>
        <item x="405"/>
        <item x="283"/>
        <item x="184"/>
        <item x="463"/>
        <item x="462"/>
        <item x="133"/>
        <item x="421"/>
        <item x="150"/>
        <item x="243"/>
        <item x="480"/>
        <item x="368"/>
        <item x="317"/>
        <item x="156"/>
        <item x="239"/>
        <item x="391"/>
        <item x="188"/>
        <item x="52"/>
        <item x="12"/>
        <item x="61"/>
        <item x="33"/>
        <item x="468"/>
        <item x="301"/>
        <item x="20"/>
        <item x="459"/>
        <item x="98"/>
        <item x="172"/>
        <item x="82"/>
        <item x="329"/>
        <item x="95"/>
        <item x="389"/>
        <item x="160"/>
        <item x="403"/>
        <item x="448"/>
        <item x="59"/>
        <item x="457"/>
        <item x="471"/>
        <item x="296"/>
        <item x="139"/>
        <item x="119"/>
        <item x="419"/>
        <item x="376"/>
        <item x="64"/>
        <item x="217"/>
        <item x="366"/>
        <item x="229"/>
        <item x="211"/>
        <item x="47"/>
        <item x="282"/>
        <item x="225"/>
        <item x="216"/>
        <item x="202"/>
        <item x="267"/>
        <item x="13"/>
        <item x="186"/>
        <item x="453"/>
        <item x="472"/>
        <item x="369"/>
        <item x="255"/>
        <item x="436"/>
        <item x="338"/>
        <item x="57"/>
        <item x="386"/>
        <item x="440"/>
        <item x="104"/>
        <item x="62"/>
        <item x="415"/>
        <item x="230"/>
        <item x="236"/>
        <item x="437"/>
        <item x="257"/>
        <item x="323"/>
        <item x="470"/>
        <item x="14"/>
        <item x="397"/>
        <item x="224"/>
        <item x="373"/>
        <item x="378"/>
        <item x="276"/>
        <item x="84"/>
        <item x="441"/>
        <item x="251"/>
        <item x="305"/>
        <item x="42"/>
        <item x="234"/>
        <item x="144"/>
        <item x="380"/>
        <item x="120"/>
        <item x="10"/>
        <item x="279"/>
        <item x="88"/>
        <item x="241"/>
        <item x="314"/>
        <item x="356"/>
        <item x="331"/>
        <item x="319"/>
        <item x="349"/>
        <item x="262"/>
        <item x="404"/>
        <item x="19"/>
        <item x="209"/>
        <item x="97"/>
        <item x="393"/>
        <item x="430"/>
        <item x="429"/>
        <item x="271"/>
        <item x="244"/>
        <item x="206"/>
        <item x="135"/>
        <item x="303"/>
        <item x="399"/>
        <item x="28"/>
        <item x="112"/>
        <item x="85"/>
        <item x="16"/>
        <item x="179"/>
        <item x="425"/>
        <item x="372"/>
        <item x="3"/>
        <item x="173"/>
        <item x="387"/>
        <item x="174"/>
        <item x="127"/>
        <item x="34"/>
        <item x="374"/>
        <item x="68"/>
        <item x="11"/>
        <item x="286"/>
        <item x="40"/>
        <item x="123"/>
        <item x="313"/>
        <item x="15"/>
        <item x="50"/>
        <item x="161"/>
        <item x="110"/>
        <item x="275"/>
        <item x="340"/>
        <item x="212"/>
        <item x="193"/>
        <item x="324"/>
        <item x="335"/>
        <item x="92"/>
        <item x="215"/>
        <item x="293"/>
        <item x="265"/>
        <item x="115"/>
        <item x="78"/>
        <item x="315"/>
        <item x="8"/>
        <item x="270"/>
        <item x="223"/>
        <item x="137"/>
        <item x="266"/>
        <item x="141"/>
        <item x="21"/>
        <item x="126"/>
        <item x="433"/>
        <item x="35"/>
        <item x="334"/>
        <item x="246"/>
        <item x="292"/>
        <item x="199"/>
        <item x="65"/>
        <item x="190"/>
        <item x="379"/>
        <item x="306"/>
        <item x="219"/>
        <item x="7"/>
        <item x="383"/>
        <item x="294"/>
        <item x="341"/>
        <item x="417"/>
        <item x="304"/>
        <item x="187"/>
        <item x="446"/>
        <item x="81"/>
        <item x="128"/>
        <item x="83"/>
        <item x="70"/>
        <item x="96"/>
        <item x="113"/>
        <item x="214"/>
        <item x="124"/>
        <item x="337"/>
        <item x="49"/>
        <item x="401"/>
        <item x="210"/>
        <item x="360"/>
        <item x="278"/>
        <item x="347"/>
        <item x="398"/>
        <item x="237"/>
        <item x="273"/>
        <item x="333"/>
        <item x="157"/>
        <item x="55"/>
        <item x="221"/>
        <item x="438"/>
        <item x="66"/>
        <item x="114"/>
        <item x="208"/>
        <item x="60"/>
        <item x="76"/>
        <item x="394"/>
        <item x="354"/>
        <item x="228"/>
        <item x="461"/>
        <item x="326"/>
        <item x="351"/>
        <item x="316"/>
        <item x="58"/>
        <item x="410"/>
        <item x="90"/>
        <item x="227"/>
        <item x="269"/>
        <item x="213"/>
        <item x="148"/>
        <item x="80"/>
        <item x="4"/>
        <item x="336"/>
        <item x="162"/>
        <item x="413"/>
        <item x="170"/>
        <item x="48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3:H7" firstHeaderRow="1" firstDataRow="1" firstDataCol="1"/>
  <pivotFields count="21">
    <pivotField compact="0" showAll="0">
      <items count="14">
        <item h="1" x="10"/>
        <item x="0"/>
        <item h="1" x="6"/>
        <item h="1" x="11"/>
        <item h="1" x="9"/>
        <item h="1" x="3"/>
        <item h="1" x="7"/>
        <item h="1" x="2"/>
        <item h="1" x="5"/>
        <item h="1" x="1"/>
        <item h="1" x="4"/>
        <item h="1" x="8"/>
        <item h="1" x="12"/>
        <item t="default"/>
      </items>
    </pivotField>
    <pivotField compact="0" showAll="0">
      <items count="500">
        <item x="398"/>
        <item x="272"/>
        <item x="345"/>
        <item x="344"/>
        <item x="74"/>
        <item x="206"/>
        <item x="300"/>
        <item x="289"/>
        <item x="338"/>
        <item x="386"/>
        <item x="39"/>
        <item x="320"/>
        <item x="329"/>
        <item x="286"/>
        <item x="162"/>
        <item x="467"/>
        <item x="343"/>
        <item x="369"/>
        <item x="399"/>
        <item x="316"/>
        <item x="61"/>
        <item x="310"/>
        <item x="73"/>
        <item x="198"/>
        <item x="347"/>
        <item x="83"/>
        <item x="384"/>
        <item x="45"/>
        <item x="395"/>
        <item x="41"/>
        <item x="357"/>
        <item x="118"/>
        <item x="17"/>
        <item x="396"/>
        <item x="158"/>
        <item x="177"/>
        <item x="379"/>
        <item x="252"/>
        <item x="227"/>
        <item x="194"/>
        <item x="325"/>
        <item x="407"/>
        <item x="80"/>
        <item x="448"/>
        <item x="199"/>
        <item x="173"/>
        <item x="474"/>
        <item x="290"/>
        <item x="87"/>
        <item x="388"/>
        <item x="79"/>
        <item x="15"/>
        <item x="317"/>
        <item x="82"/>
        <item x="307"/>
        <item x="0"/>
        <item x="37"/>
        <item x="225"/>
        <item x="277"/>
        <item x="443"/>
        <item x="223"/>
        <item x="362"/>
        <item x="283"/>
        <item x="282"/>
        <item x="372"/>
        <item x="258"/>
        <item x="442"/>
        <item x="204"/>
        <item x="169"/>
        <item x="445"/>
        <item x="103"/>
        <item x="322"/>
        <item x="181"/>
        <item x="220"/>
        <item x="119"/>
        <item x="268"/>
        <item x="333"/>
        <item x="27"/>
        <item x="421"/>
        <item x="21"/>
        <item x="251"/>
        <item x="472"/>
        <item x="435"/>
        <item x="458"/>
        <item x="35"/>
        <item x="381"/>
        <item x="32"/>
        <item x="346"/>
        <item x="249"/>
        <item x="434"/>
        <item x="122"/>
        <item x="31"/>
        <item x="202"/>
        <item x="184"/>
        <item x="203"/>
        <item x="405"/>
        <item x="43"/>
        <item x="260"/>
        <item x="160"/>
        <item x="63"/>
        <item x="134"/>
        <item x="409"/>
        <item x="22"/>
        <item x="385"/>
        <item x="42"/>
        <item x="490"/>
        <item x="337"/>
        <item x="371"/>
        <item x="152"/>
        <item x="163"/>
        <item x="234"/>
        <item x="461"/>
        <item x="400"/>
        <item x="473"/>
        <item x="66"/>
        <item x="125"/>
        <item x="136"/>
        <item x="218"/>
        <item x="9"/>
        <item x="65"/>
        <item x="353"/>
        <item x="92"/>
        <item x="331"/>
        <item x="356"/>
        <item x="330"/>
        <item x="486"/>
        <item x="7"/>
        <item x="422"/>
        <item x="67"/>
        <item x="116"/>
        <item x="195"/>
        <item x="416"/>
        <item x="430"/>
        <item x="117"/>
        <item x="8"/>
        <item x="243"/>
        <item x="387"/>
        <item x="278"/>
        <item x="4"/>
        <item x="447"/>
        <item x="72"/>
        <item x="313"/>
        <item x="33"/>
        <item x="354"/>
        <item x="159"/>
        <item x="340"/>
        <item x="295"/>
        <item x="137"/>
        <item x="468"/>
        <item x="425"/>
        <item x="301"/>
        <item x="449"/>
        <item x="25"/>
        <item x="248"/>
        <item x="247"/>
        <item x="298"/>
        <item x="485"/>
        <item x="465"/>
        <item x="53"/>
        <item x="24"/>
        <item x="94"/>
        <item x="106"/>
        <item x="131"/>
        <item x="145"/>
        <item x="237"/>
        <item x="126"/>
        <item x="488"/>
        <item x="476"/>
        <item x="20"/>
        <item x="495"/>
        <item x="264"/>
        <item x="245"/>
        <item x="129"/>
        <item x="127"/>
        <item x="406"/>
        <item x="75"/>
        <item x="269"/>
        <item x="410"/>
        <item x="133"/>
        <item x="257"/>
        <item x="113"/>
        <item x="308"/>
        <item x="51"/>
        <item x="454"/>
        <item x="439"/>
        <item x="84"/>
        <item x="186"/>
        <item x="459"/>
        <item x="404"/>
        <item x="457"/>
        <item x="71"/>
        <item x="123"/>
        <item x="426"/>
        <item x="469"/>
        <item x="231"/>
        <item x="276"/>
        <item x="451"/>
        <item x="46"/>
        <item x="294"/>
        <item x="491"/>
        <item x="120"/>
        <item x="132"/>
        <item x="255"/>
        <item x="299"/>
        <item x="432"/>
        <item x="188"/>
        <item x="420"/>
        <item x="368"/>
        <item x="380"/>
        <item x="332"/>
        <item x="5"/>
        <item x="291"/>
        <item x="36"/>
        <item x="370"/>
        <item x="297"/>
        <item x="413"/>
        <item x="402"/>
        <item x="146"/>
        <item x="436"/>
        <item x="111"/>
        <item x="209"/>
        <item x="471"/>
        <item x="441"/>
        <item x="18"/>
        <item x="208"/>
        <item x="470"/>
        <item x="121"/>
        <item x="284"/>
        <item x="267"/>
        <item x="143"/>
        <item x="228"/>
        <item x="150"/>
        <item x="217"/>
        <item x="62"/>
        <item x="166"/>
        <item x="55"/>
        <item x="374"/>
        <item x="128"/>
        <item x="437"/>
        <item x="394"/>
        <item x="497"/>
        <item x="107"/>
        <item x="302"/>
        <item x="48"/>
        <item x="216"/>
        <item x="200"/>
        <item x="390"/>
        <item x="211"/>
        <item x="178"/>
        <item x="77"/>
        <item x="494"/>
        <item x="492"/>
        <item x="6"/>
        <item x="246"/>
        <item x="155"/>
        <item x="147"/>
        <item x="105"/>
        <item x="60"/>
        <item x="428"/>
        <item x="375"/>
        <item x="38"/>
        <item x="424"/>
        <item x="414"/>
        <item x="288"/>
        <item x="306"/>
        <item x="480"/>
        <item x="377"/>
        <item x="489"/>
        <item x="261"/>
        <item x="154"/>
        <item x="254"/>
        <item x="205"/>
        <item x="477"/>
        <item x="69"/>
        <item x="419"/>
        <item x="207"/>
        <item x="475"/>
        <item x="34"/>
        <item x="427"/>
        <item x="96"/>
        <item x="176"/>
        <item x="482"/>
        <item x="285"/>
        <item x="463"/>
        <item x="478"/>
        <item x="197"/>
        <item x="47"/>
        <item x="412"/>
        <item x="187"/>
        <item x="19"/>
        <item x="164"/>
        <item x="30"/>
        <item x="219"/>
        <item x="464"/>
        <item x="124"/>
        <item x="349"/>
        <item x="453"/>
        <item x="393"/>
        <item x="266"/>
        <item x="171"/>
        <item x="450"/>
        <item x="201"/>
        <item x="100"/>
        <item x="397"/>
        <item x="484"/>
        <item x="174"/>
        <item x="324"/>
        <item x="493"/>
        <item x="98"/>
        <item x="378"/>
        <item x="157"/>
        <item x="242"/>
        <item x="455"/>
        <item x="172"/>
        <item x="417"/>
        <item x="281"/>
        <item x="115"/>
        <item x="99"/>
        <item x="68"/>
        <item x="481"/>
        <item x="431"/>
        <item x="323"/>
        <item x="270"/>
        <item x="1"/>
        <item x="483"/>
        <item x="151"/>
        <item x="341"/>
        <item x="229"/>
        <item x="321"/>
        <item x="318"/>
        <item x="358"/>
        <item x="140"/>
        <item x="235"/>
        <item x="210"/>
        <item x="49"/>
        <item x="326"/>
        <item x="312"/>
        <item x="135"/>
        <item x="287"/>
        <item x="114"/>
        <item x="86"/>
        <item x="438"/>
        <item x="165"/>
        <item x="373"/>
        <item x="365"/>
        <item x="429"/>
        <item x="479"/>
        <item x="40"/>
        <item x="403"/>
        <item x="389"/>
        <item x="273"/>
        <item x="226"/>
        <item x="196"/>
        <item x="292"/>
        <item x="180"/>
        <item x="175"/>
        <item x="212"/>
        <item x="230"/>
        <item x="259"/>
        <item x="236"/>
        <item x="383"/>
        <item x="161"/>
        <item x="56"/>
        <item x="130"/>
        <item x="256"/>
        <item x="304"/>
        <item x="238"/>
        <item x="102"/>
        <item x="376"/>
        <item x="11"/>
        <item x="392"/>
        <item x="241"/>
        <item x="213"/>
        <item x="156"/>
        <item x="408"/>
        <item x="144"/>
        <item x="363"/>
        <item x="233"/>
        <item x="335"/>
        <item x="314"/>
        <item x="101"/>
        <item x="97"/>
        <item x="265"/>
        <item x="305"/>
        <item x="189"/>
        <item x="415"/>
        <item x="112"/>
        <item x="452"/>
        <item x="224"/>
        <item x="487"/>
        <item x="58"/>
        <item x="138"/>
        <item x="191"/>
        <item x="244"/>
        <item x="215"/>
        <item x="90"/>
        <item x="185"/>
        <item x="359"/>
        <item x="351"/>
        <item x="95"/>
        <item x="50"/>
        <item x="153"/>
        <item x="336"/>
        <item x="382"/>
        <item x="13"/>
        <item x="240"/>
        <item x="366"/>
        <item x="348"/>
        <item x="23"/>
        <item x="293"/>
        <item x="104"/>
        <item x="52"/>
        <item x="44"/>
        <item x="81"/>
        <item x="110"/>
        <item x="315"/>
        <item x="88"/>
        <item x="367"/>
        <item x="460"/>
        <item x="12"/>
        <item x="89"/>
        <item x="222"/>
        <item x="364"/>
        <item x="274"/>
        <item x="149"/>
        <item x="355"/>
        <item x="279"/>
        <item x="59"/>
        <item x="142"/>
        <item x="334"/>
        <item x="109"/>
        <item x="167"/>
        <item x="328"/>
        <item x="3"/>
        <item x="418"/>
        <item x="57"/>
        <item x="280"/>
        <item x="311"/>
        <item x="16"/>
        <item x="401"/>
        <item x="64"/>
        <item x="78"/>
        <item x="327"/>
        <item x="239"/>
        <item x="91"/>
        <item x="342"/>
        <item x="339"/>
        <item x="440"/>
        <item x="28"/>
        <item x="141"/>
        <item x="303"/>
        <item x="168"/>
        <item x="214"/>
        <item x="466"/>
        <item x="29"/>
        <item x="232"/>
        <item x="26"/>
        <item x="85"/>
        <item x="76"/>
        <item x="361"/>
        <item x="221"/>
        <item x="192"/>
        <item x="179"/>
        <item x="253"/>
        <item x="263"/>
        <item x="433"/>
        <item x="423"/>
        <item x="193"/>
        <item x="446"/>
        <item x="70"/>
        <item x="139"/>
        <item x="262"/>
        <item x="462"/>
        <item x="275"/>
        <item x="170"/>
        <item x="183"/>
        <item x="14"/>
        <item x="182"/>
        <item x="148"/>
        <item x="250"/>
        <item x="496"/>
        <item x="2"/>
        <item x="352"/>
        <item x="108"/>
        <item x="360"/>
        <item x="296"/>
        <item x="456"/>
        <item x="444"/>
        <item x="93"/>
        <item x="411"/>
        <item x="350"/>
        <item x="391"/>
        <item x="54"/>
        <item x="271"/>
        <item x="10"/>
        <item x="190"/>
        <item x="309"/>
        <item x="319"/>
        <item x="498"/>
        <item t="default"/>
      </items>
    </pivotField>
    <pivotField compact="0" showAll="0">
      <items count="53">
        <item x="43"/>
        <item x="17"/>
        <item x="32"/>
        <item x="6"/>
        <item x="7"/>
        <item x="15"/>
        <item x="40"/>
        <item x="37"/>
        <item x="31"/>
        <item x="38"/>
        <item x="48"/>
        <item x="46"/>
        <item x="25"/>
        <item x="26"/>
        <item x="30"/>
        <item x="34"/>
        <item x="41"/>
        <item x="49"/>
        <item x="9"/>
        <item x="33"/>
        <item x="11"/>
        <item x="50"/>
        <item x="44"/>
        <item x="42"/>
        <item x="8"/>
        <item x="45"/>
        <item x="1"/>
        <item x="24"/>
        <item x="5"/>
        <item x="23"/>
        <item x="39"/>
        <item x="35"/>
        <item x="13"/>
        <item x="21"/>
        <item x="47"/>
        <item x="2"/>
        <item x="3"/>
        <item x="18"/>
        <item x="20"/>
        <item x="22"/>
        <item x="16"/>
        <item x="10"/>
        <item x="14"/>
        <item x="12"/>
        <item x="28"/>
        <item x="4"/>
        <item x="36"/>
        <item x="0"/>
        <item x="27"/>
        <item x="19"/>
        <item x="29"/>
        <item x="51"/>
        <item t="default"/>
      </items>
    </pivotField>
    <pivotField compact="0" showAll="0">
      <items count="16">
        <item x="11"/>
        <item x="13"/>
        <item x="2"/>
        <item x="3"/>
        <item x="8"/>
        <item x="1"/>
        <item x="10"/>
        <item x="12"/>
        <item x="6"/>
        <item x="0"/>
        <item x="7"/>
        <item x="9"/>
        <item x="4"/>
        <item x="5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4"/>
        <item x="5"/>
        <item x="8"/>
        <item x="2"/>
        <item x="7"/>
        <item x="3"/>
        <item x="6"/>
        <item x="9"/>
        <item x="1"/>
        <item x="10"/>
        <item t="default"/>
      </items>
    </pivotField>
    <pivotField compact="0" showAll="0">
      <items count="12">
        <item x="5"/>
        <item x="9"/>
        <item x="7"/>
        <item x="8"/>
        <item x="6"/>
        <item x="1"/>
        <item x="3"/>
        <item x="0"/>
        <item x="2"/>
        <item x="4"/>
        <item x="10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94">
        <item x="6"/>
        <item x="105"/>
        <item x="120"/>
        <item x="287"/>
        <item x="260"/>
        <item x="283"/>
        <item x="179"/>
        <item x="191"/>
        <item x="91"/>
        <item x="273"/>
        <item x="131"/>
        <item x="266"/>
        <item x="107"/>
        <item x="185"/>
        <item x="228"/>
        <item x="233"/>
        <item x="269"/>
        <item x="10"/>
        <item x="146"/>
        <item x="224"/>
        <item x="63"/>
        <item x="281"/>
        <item x="61"/>
        <item x="127"/>
        <item x="144"/>
        <item x="67"/>
        <item x="245"/>
        <item x="248"/>
        <item x="111"/>
        <item x="164"/>
        <item x="157"/>
        <item x="244"/>
        <item x="192"/>
        <item x="227"/>
        <item x="143"/>
        <item x="152"/>
        <item x="16"/>
        <item x="19"/>
        <item x="288"/>
        <item x="217"/>
        <item x="24"/>
        <item x="121"/>
        <item x="135"/>
        <item x="132"/>
        <item x="41"/>
        <item x="137"/>
        <item x="25"/>
        <item x="22"/>
        <item x="184"/>
        <item x="284"/>
        <item x="194"/>
        <item x="212"/>
        <item x="18"/>
        <item x="28"/>
        <item x="197"/>
        <item x="261"/>
        <item x="126"/>
        <item x="119"/>
        <item x="290"/>
        <item x="114"/>
        <item x="92"/>
        <item x="247"/>
        <item x="262"/>
        <item x="57"/>
        <item x="37"/>
        <item x="80"/>
        <item x="289"/>
        <item x="58"/>
        <item x="34"/>
        <item x="42"/>
        <item x="141"/>
        <item x="82"/>
        <item x="1"/>
        <item x="241"/>
        <item x="178"/>
        <item x="77"/>
        <item x="249"/>
        <item x="20"/>
        <item x="94"/>
        <item x="286"/>
        <item x="47"/>
        <item x="140"/>
        <item x="230"/>
        <item x="165"/>
        <item x="36"/>
        <item x="151"/>
        <item x="29"/>
        <item x="238"/>
        <item x="242"/>
        <item x="190"/>
        <item x="115"/>
        <item x="117"/>
        <item x="3"/>
        <item x="50"/>
        <item x="246"/>
        <item x="110"/>
        <item x="72"/>
        <item x="98"/>
        <item x="145"/>
        <item x="89"/>
        <item x="56"/>
        <item x="182"/>
        <item x="100"/>
        <item x="275"/>
        <item x="276"/>
        <item x="83"/>
        <item x="142"/>
        <item x="220"/>
        <item x="147"/>
        <item x="74"/>
        <item x="168"/>
        <item x="268"/>
        <item x="169"/>
        <item x="234"/>
        <item x="7"/>
        <item x="159"/>
        <item x="43"/>
        <item x="38"/>
        <item x="31"/>
        <item x="198"/>
        <item x="52"/>
        <item x="218"/>
        <item x="4"/>
        <item x="62"/>
        <item x="102"/>
        <item x="253"/>
        <item x="204"/>
        <item x="68"/>
        <item x="263"/>
        <item x="35"/>
        <item x="161"/>
        <item x="5"/>
        <item x="73"/>
        <item x="93"/>
        <item x="254"/>
        <item x="90"/>
        <item x="229"/>
        <item x="208"/>
        <item x="65"/>
        <item x="125"/>
        <item x="8"/>
        <item x="48"/>
        <item x="206"/>
        <item x="291"/>
        <item x="23"/>
        <item x="160"/>
        <item x="226"/>
        <item x="12"/>
        <item x="250"/>
        <item x="32"/>
        <item x="207"/>
        <item x="39"/>
        <item x="0"/>
        <item x="213"/>
        <item x="271"/>
        <item x="21"/>
        <item x="45"/>
        <item x="156"/>
        <item x="14"/>
        <item x="96"/>
        <item x="188"/>
        <item x="189"/>
        <item x="183"/>
        <item x="108"/>
        <item x="30"/>
        <item x="221"/>
        <item x="101"/>
        <item x="139"/>
        <item x="196"/>
        <item x="87"/>
        <item x="201"/>
        <item x="17"/>
        <item x="219"/>
        <item x="148"/>
        <item x="239"/>
        <item x="255"/>
        <item x="265"/>
        <item x="170"/>
        <item x="153"/>
        <item x="79"/>
        <item x="40"/>
        <item x="150"/>
        <item x="187"/>
        <item x="257"/>
        <item x="2"/>
        <item x="88"/>
        <item x="99"/>
        <item x="104"/>
        <item x="136"/>
        <item x="78"/>
        <item x="69"/>
        <item x="167"/>
        <item x="26"/>
        <item x="116"/>
        <item x="181"/>
        <item x="240"/>
        <item x="124"/>
        <item x="186"/>
        <item x="236"/>
        <item x="44"/>
        <item x="278"/>
        <item x="70"/>
        <item x="33"/>
        <item x="84"/>
        <item x="53"/>
        <item x="202"/>
        <item x="172"/>
        <item x="149"/>
        <item x="162"/>
        <item x="106"/>
        <item x="195"/>
        <item x="277"/>
        <item x="180"/>
        <item x="112"/>
        <item x="13"/>
        <item x="11"/>
        <item x="54"/>
        <item x="97"/>
        <item x="258"/>
        <item x="27"/>
        <item x="138"/>
        <item x="46"/>
        <item x="225"/>
        <item x="231"/>
        <item x="237"/>
        <item x="9"/>
        <item x="193"/>
        <item x="209"/>
        <item x="85"/>
        <item x="59"/>
        <item x="175"/>
        <item x="243"/>
        <item x="133"/>
        <item x="174"/>
        <item x="103"/>
        <item x="66"/>
        <item x="270"/>
        <item x="256"/>
        <item x="171"/>
        <item x="216"/>
        <item x="113"/>
        <item x="128"/>
        <item x="232"/>
        <item x="109"/>
        <item x="177"/>
        <item x="199"/>
        <item x="280"/>
        <item x="163"/>
        <item x="155"/>
        <item x="210"/>
        <item x="267"/>
        <item x="76"/>
        <item x="158"/>
        <item x="251"/>
        <item x="130"/>
        <item x="15"/>
        <item x="285"/>
        <item x="55"/>
        <item x="215"/>
        <item x="274"/>
        <item x="154"/>
        <item x="222"/>
        <item x="118"/>
        <item x="279"/>
        <item x="252"/>
        <item x="282"/>
        <item x="176"/>
        <item x="272"/>
        <item x="95"/>
        <item x="223"/>
        <item x="81"/>
        <item x="122"/>
        <item x="259"/>
        <item x="214"/>
        <item x="264"/>
        <item x="75"/>
        <item x="86"/>
        <item x="71"/>
        <item x="51"/>
        <item x="200"/>
        <item x="60"/>
        <item x="129"/>
        <item x="123"/>
        <item x="211"/>
        <item x="49"/>
        <item x="205"/>
        <item x="235"/>
        <item x="64"/>
        <item x="166"/>
        <item x="203"/>
        <item x="134"/>
        <item x="173"/>
        <item x="292"/>
        <item t="default"/>
      </items>
    </pivotField>
    <pivotField compact="0" showAll="0">
      <items count="12">
        <item x="8"/>
        <item x="0"/>
        <item x="6"/>
        <item x="5"/>
        <item x="7"/>
        <item x="2"/>
        <item x="4"/>
        <item x="3"/>
        <item x="1"/>
        <item x="9"/>
        <item x="10"/>
        <item t="default"/>
      </items>
    </pivotField>
    <pivotField compact="0" showAll="0">
      <items count="8">
        <item x="1"/>
        <item x="3"/>
        <item x="2"/>
        <item x="0"/>
        <item x="5"/>
        <item x="4"/>
        <item x="6"/>
        <item t="default"/>
      </items>
    </pivotField>
    <pivotField compact="0" showAll="0">
      <items count="12">
        <item x="5"/>
        <item x="1"/>
        <item x="8"/>
        <item x="4"/>
        <item x="2"/>
        <item x="3"/>
        <item x="9"/>
        <item x="0"/>
        <item x="7"/>
        <item x="6"/>
        <item x="10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compact="0" multipleItemSelectionAllowed="1" showAll="0">
      <items count="5">
        <item x="2"/>
        <item x="1"/>
        <item x="0"/>
        <item h="1" x="3"/>
        <item t="default"/>
      </items>
    </pivotField>
    <pivotField dataField="1" compact="0" showAll="0">
      <items count="10">
        <item x="0"/>
        <item x="5"/>
        <item x="6"/>
        <item x="4"/>
        <item x="2"/>
        <item x="1"/>
        <item x="3"/>
        <item x="7"/>
        <item x="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31">
        <item x="1"/>
        <item x="19"/>
        <item x="61"/>
        <item x="136"/>
        <item x="153"/>
        <item x="20"/>
        <item x="167"/>
        <item x="145"/>
        <item x="211"/>
        <item x="100"/>
        <item x="105"/>
        <item x="209"/>
        <item x="213"/>
        <item x="216"/>
        <item x="0"/>
        <item x="51"/>
        <item x="140"/>
        <item x="94"/>
        <item x="74"/>
        <item x="39"/>
        <item x="96"/>
        <item x="212"/>
        <item x="189"/>
        <item x="102"/>
        <item x="32"/>
        <item x="9"/>
        <item x="178"/>
        <item x="7"/>
        <item x="56"/>
        <item x="214"/>
        <item x="122"/>
        <item x="17"/>
        <item x="57"/>
        <item x="13"/>
        <item x="217"/>
        <item x="64"/>
        <item x="170"/>
        <item x="12"/>
        <item x="15"/>
        <item x="218"/>
        <item x="89"/>
        <item x="55"/>
        <item x="196"/>
        <item x="82"/>
        <item x="225"/>
        <item x="116"/>
        <item x="108"/>
        <item x="117"/>
        <item x="163"/>
        <item x="174"/>
        <item x="109"/>
        <item x="26"/>
        <item x="228"/>
        <item x="199"/>
        <item x="68"/>
        <item x="2"/>
        <item x="123"/>
        <item x="54"/>
        <item x="16"/>
        <item x="181"/>
        <item x="195"/>
        <item x="88"/>
        <item x="127"/>
        <item x="171"/>
        <item x="80"/>
        <item x="222"/>
        <item x="143"/>
        <item x="41"/>
        <item x="118"/>
        <item x="78"/>
        <item x="142"/>
        <item x="53"/>
        <item x="46"/>
        <item x="210"/>
        <item x="205"/>
        <item x="208"/>
        <item x="168"/>
        <item x="180"/>
        <item x="192"/>
        <item x="147"/>
        <item x="125"/>
        <item x="119"/>
        <item x="154"/>
        <item x="131"/>
        <item x="73"/>
        <item x="11"/>
        <item x="49"/>
        <item x="22"/>
        <item x="219"/>
        <item x="115"/>
        <item x="124"/>
        <item x="99"/>
        <item x="14"/>
        <item x="103"/>
        <item x="165"/>
        <item x="173"/>
        <item x="202"/>
        <item x="67"/>
        <item x="188"/>
        <item x="21"/>
        <item x="85"/>
        <item x="206"/>
        <item x="151"/>
        <item x="176"/>
        <item x="31"/>
        <item x="66"/>
        <item x="128"/>
        <item x="111"/>
        <item x="92"/>
        <item x="166"/>
        <item x="86"/>
        <item x="44"/>
        <item x="112"/>
        <item x="48"/>
        <item x="75"/>
        <item x="3"/>
        <item x="30"/>
        <item x="146"/>
        <item x="18"/>
        <item x="113"/>
        <item x="120"/>
        <item x="223"/>
        <item x="184"/>
        <item x="69"/>
        <item x="182"/>
        <item x="148"/>
        <item x="114"/>
        <item x="193"/>
        <item x="6"/>
        <item x="10"/>
        <item x="215"/>
        <item x="207"/>
        <item x="90"/>
        <item x="175"/>
        <item x="60"/>
        <item x="110"/>
        <item x="161"/>
        <item x="149"/>
        <item x="185"/>
        <item x="63"/>
        <item x="106"/>
        <item x="43"/>
        <item x="47"/>
        <item x="204"/>
        <item x="45"/>
        <item x="134"/>
        <item x="139"/>
        <item x="76"/>
        <item x="4"/>
        <item x="29"/>
        <item x="101"/>
        <item x="84"/>
        <item x="91"/>
        <item x="177"/>
        <item x="5"/>
        <item x="24"/>
        <item x="8"/>
        <item x="133"/>
        <item x="71"/>
        <item x="132"/>
        <item x="126"/>
        <item x="104"/>
        <item x="40"/>
        <item x="203"/>
        <item x="135"/>
        <item x="144"/>
        <item x="162"/>
        <item x="156"/>
        <item x="70"/>
        <item x="129"/>
        <item x="23"/>
        <item x="34"/>
        <item x="36"/>
        <item x="186"/>
        <item x="93"/>
        <item x="79"/>
        <item x="87"/>
        <item x="95"/>
        <item x="107"/>
        <item x="200"/>
        <item x="52"/>
        <item x="220"/>
        <item x="152"/>
        <item x="201"/>
        <item x="42"/>
        <item x="224"/>
        <item x="33"/>
        <item x="81"/>
        <item x="77"/>
        <item x="197"/>
        <item x="194"/>
        <item x="58"/>
        <item x="158"/>
        <item x="226"/>
        <item x="72"/>
        <item x="190"/>
        <item x="183"/>
        <item x="62"/>
        <item x="227"/>
        <item x="198"/>
        <item x="141"/>
        <item x="28"/>
        <item x="138"/>
        <item x="164"/>
        <item x="97"/>
        <item x="38"/>
        <item x="159"/>
        <item x="187"/>
        <item x="137"/>
        <item x="221"/>
        <item x="172"/>
        <item x="121"/>
        <item x="155"/>
        <item x="98"/>
        <item x="59"/>
        <item x="179"/>
        <item x="35"/>
        <item x="65"/>
        <item x="191"/>
        <item x="37"/>
        <item x="130"/>
        <item x="150"/>
        <item x="27"/>
        <item x="169"/>
        <item x="25"/>
        <item x="50"/>
        <item x="157"/>
        <item x="160"/>
        <item x="83"/>
        <item x="229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484">
        <item x="362"/>
        <item x="439"/>
        <item x="307"/>
        <item x="26"/>
        <item x="384"/>
        <item x="167"/>
        <item x="176"/>
        <item x="290"/>
        <item x="464"/>
        <item x="159"/>
        <item x="465"/>
        <item x="359"/>
        <item x="247"/>
        <item x="74"/>
        <item x="253"/>
        <item x="426"/>
        <item x="185"/>
        <item x="285"/>
        <item x="409"/>
        <item x="191"/>
        <item x="169"/>
        <item x="89"/>
        <item x="343"/>
        <item x="454"/>
        <item x="44"/>
        <item x="107"/>
        <item x="396"/>
        <item x="163"/>
        <item x="385"/>
        <item x="130"/>
        <item x="48"/>
        <item x="63"/>
        <item x="390"/>
        <item x="424"/>
        <item x="423"/>
        <item x="252"/>
        <item x="348"/>
        <item x="367"/>
        <item x="201"/>
        <item x="197"/>
        <item x="41"/>
        <item x="6"/>
        <item x="37"/>
        <item x="325"/>
        <item x="254"/>
        <item x="312"/>
        <item x="272"/>
        <item x="452"/>
        <item x="132"/>
        <item x="342"/>
        <item x="473"/>
        <item x="125"/>
        <item x="418"/>
        <item x="355"/>
        <item x="91"/>
        <item x="321"/>
        <item x="435"/>
        <item x="23"/>
        <item x="260"/>
        <item x="445"/>
        <item x="151"/>
        <item x="450"/>
        <item x="320"/>
        <item x="72"/>
        <item x="467"/>
        <item x="469"/>
        <item x="363"/>
        <item x="420"/>
        <item x="364"/>
        <item x="101"/>
        <item x="31"/>
        <item x="375"/>
        <item x="242"/>
        <item x="291"/>
        <item x="322"/>
        <item x="0"/>
        <item x="192"/>
        <item x="298"/>
        <item x="289"/>
        <item x="277"/>
        <item x="2"/>
        <item x="29"/>
        <item x="51"/>
        <item x="259"/>
        <item x="250"/>
        <item x="39"/>
        <item x="449"/>
        <item x="232"/>
        <item x="136"/>
        <item x="381"/>
        <item x="460"/>
        <item x="422"/>
        <item x="75"/>
        <item x="195"/>
        <item x="134"/>
        <item x="256"/>
        <item x="226"/>
        <item x="105"/>
        <item x="345"/>
        <item x="177"/>
        <item x="93"/>
        <item x="218"/>
        <item x="327"/>
        <item x="318"/>
        <item x="180"/>
        <item x="200"/>
        <item x="377"/>
        <item x="442"/>
        <item x="431"/>
        <item x="238"/>
        <item x="245"/>
        <item x="99"/>
        <item x="370"/>
        <item x="466"/>
        <item x="412"/>
        <item x="299"/>
        <item x="281"/>
        <item x="154"/>
        <item x="117"/>
        <item x="248"/>
        <item x="416"/>
        <item x="352"/>
        <item x="36"/>
        <item x="189"/>
        <item x="73"/>
        <item x="477"/>
        <item x="204"/>
        <item x="79"/>
        <item x="346"/>
        <item x="45"/>
        <item x="17"/>
        <item x="451"/>
        <item x="207"/>
        <item x="408"/>
        <item x="233"/>
        <item x="249"/>
        <item x="9"/>
        <item x="222"/>
        <item x="18"/>
        <item x="350"/>
        <item x="183"/>
        <item x="357"/>
        <item x="145"/>
        <item x="142"/>
        <item x="106"/>
        <item x="129"/>
        <item x="194"/>
        <item x="182"/>
        <item x="140"/>
        <item x="274"/>
        <item x="427"/>
        <item x="155"/>
        <item x="25"/>
        <item x="86"/>
        <item x="67"/>
        <item x="71"/>
        <item x="231"/>
        <item x="328"/>
        <item x="5"/>
        <item x="353"/>
        <item x="308"/>
        <item x="203"/>
        <item x="339"/>
        <item x="414"/>
        <item x="54"/>
        <item x="168"/>
        <item x="311"/>
        <item x="395"/>
        <item x="158"/>
        <item x="53"/>
        <item x="280"/>
        <item x="77"/>
        <item x="476"/>
        <item x="261"/>
        <item x="220"/>
        <item x="428"/>
        <item x="1"/>
        <item x="181"/>
        <item x="22"/>
        <item x="198"/>
        <item x="432"/>
        <item x="205"/>
        <item x="196"/>
        <item x="434"/>
        <item x="332"/>
        <item x="400"/>
        <item x="94"/>
        <item x="122"/>
        <item x="111"/>
        <item x="297"/>
        <item x="166"/>
        <item x="118"/>
        <item x="302"/>
        <item x="371"/>
        <item x="27"/>
        <item x="32"/>
        <item x="407"/>
        <item x="287"/>
        <item x="358"/>
        <item x="288"/>
        <item x="146"/>
        <item x="444"/>
        <item x="164"/>
        <item x="153"/>
        <item x="38"/>
        <item x="406"/>
        <item x="69"/>
        <item x="458"/>
        <item x="475"/>
        <item x="138"/>
        <item x="178"/>
        <item x="87"/>
        <item x="43"/>
        <item x="116"/>
        <item x="443"/>
        <item x="121"/>
        <item x="131"/>
        <item x="264"/>
        <item x="411"/>
        <item x="388"/>
        <item x="46"/>
        <item x="309"/>
        <item x="481"/>
        <item x="479"/>
        <item x="171"/>
        <item x="24"/>
        <item x="102"/>
        <item x="365"/>
        <item x="330"/>
        <item x="455"/>
        <item x="30"/>
        <item x="103"/>
        <item x="284"/>
        <item x="109"/>
        <item x="175"/>
        <item x="392"/>
        <item x="143"/>
        <item x="447"/>
        <item x="402"/>
        <item x="382"/>
        <item x="152"/>
        <item x="478"/>
        <item x="456"/>
        <item x="474"/>
        <item x="165"/>
        <item x="235"/>
        <item x="100"/>
        <item x="295"/>
        <item x="149"/>
        <item x="56"/>
        <item x="361"/>
        <item x="344"/>
        <item x="263"/>
        <item x="268"/>
        <item x="147"/>
        <item x="310"/>
        <item x="240"/>
        <item x="258"/>
        <item x="108"/>
        <item x="300"/>
        <item x="405"/>
        <item x="283"/>
        <item x="184"/>
        <item x="463"/>
        <item x="462"/>
        <item x="133"/>
        <item x="421"/>
        <item x="150"/>
        <item x="243"/>
        <item x="480"/>
        <item x="368"/>
        <item x="317"/>
        <item x="156"/>
        <item x="239"/>
        <item x="391"/>
        <item x="188"/>
        <item x="52"/>
        <item x="12"/>
        <item x="61"/>
        <item x="33"/>
        <item x="468"/>
        <item x="301"/>
        <item x="20"/>
        <item x="459"/>
        <item x="98"/>
        <item x="172"/>
        <item x="82"/>
        <item x="329"/>
        <item x="95"/>
        <item x="389"/>
        <item x="160"/>
        <item x="403"/>
        <item x="448"/>
        <item x="59"/>
        <item x="457"/>
        <item x="471"/>
        <item x="296"/>
        <item x="139"/>
        <item x="119"/>
        <item x="419"/>
        <item x="376"/>
        <item x="64"/>
        <item x="217"/>
        <item x="366"/>
        <item x="229"/>
        <item x="211"/>
        <item x="47"/>
        <item x="282"/>
        <item x="225"/>
        <item x="216"/>
        <item x="202"/>
        <item x="267"/>
        <item x="13"/>
        <item x="186"/>
        <item x="453"/>
        <item x="472"/>
        <item x="369"/>
        <item x="255"/>
        <item x="436"/>
        <item x="338"/>
        <item x="57"/>
        <item x="386"/>
        <item x="440"/>
        <item x="104"/>
        <item x="62"/>
        <item x="415"/>
        <item x="230"/>
        <item x="236"/>
        <item x="437"/>
        <item x="257"/>
        <item x="323"/>
        <item x="470"/>
        <item x="14"/>
        <item x="397"/>
        <item x="224"/>
        <item x="373"/>
        <item x="378"/>
        <item x="276"/>
        <item x="84"/>
        <item x="441"/>
        <item x="251"/>
        <item x="305"/>
        <item x="42"/>
        <item x="234"/>
        <item x="144"/>
        <item x="380"/>
        <item x="120"/>
        <item x="10"/>
        <item x="279"/>
        <item x="88"/>
        <item x="241"/>
        <item x="314"/>
        <item x="356"/>
        <item x="331"/>
        <item x="319"/>
        <item x="349"/>
        <item x="262"/>
        <item x="404"/>
        <item x="19"/>
        <item x="209"/>
        <item x="97"/>
        <item x="393"/>
        <item x="430"/>
        <item x="429"/>
        <item x="271"/>
        <item x="244"/>
        <item x="206"/>
        <item x="135"/>
        <item x="303"/>
        <item x="399"/>
        <item x="28"/>
        <item x="112"/>
        <item x="85"/>
        <item x="16"/>
        <item x="179"/>
        <item x="425"/>
        <item x="372"/>
        <item x="3"/>
        <item x="173"/>
        <item x="387"/>
        <item x="174"/>
        <item x="127"/>
        <item x="34"/>
        <item x="374"/>
        <item x="68"/>
        <item x="11"/>
        <item x="286"/>
        <item x="40"/>
        <item x="123"/>
        <item x="313"/>
        <item x="15"/>
        <item x="50"/>
        <item x="161"/>
        <item x="110"/>
        <item x="275"/>
        <item x="340"/>
        <item x="212"/>
        <item x="193"/>
        <item x="324"/>
        <item x="335"/>
        <item x="92"/>
        <item x="215"/>
        <item x="293"/>
        <item x="265"/>
        <item x="115"/>
        <item x="78"/>
        <item x="315"/>
        <item x="8"/>
        <item x="270"/>
        <item x="223"/>
        <item x="137"/>
        <item x="266"/>
        <item x="141"/>
        <item x="21"/>
        <item x="126"/>
        <item x="433"/>
        <item x="35"/>
        <item x="334"/>
        <item x="246"/>
        <item x="292"/>
        <item x="199"/>
        <item x="65"/>
        <item x="190"/>
        <item x="379"/>
        <item x="306"/>
        <item x="219"/>
        <item x="7"/>
        <item x="383"/>
        <item x="294"/>
        <item x="341"/>
        <item x="417"/>
        <item x="304"/>
        <item x="187"/>
        <item x="446"/>
        <item x="81"/>
        <item x="128"/>
        <item x="83"/>
        <item x="70"/>
        <item x="96"/>
        <item x="113"/>
        <item x="214"/>
        <item x="124"/>
        <item x="337"/>
        <item x="49"/>
        <item x="401"/>
        <item x="210"/>
        <item x="360"/>
        <item x="278"/>
        <item x="347"/>
        <item x="398"/>
        <item x="237"/>
        <item x="273"/>
        <item x="333"/>
        <item x="157"/>
        <item x="55"/>
        <item x="221"/>
        <item x="438"/>
        <item x="66"/>
        <item x="114"/>
        <item x="208"/>
        <item x="60"/>
        <item x="76"/>
        <item x="394"/>
        <item x="354"/>
        <item x="228"/>
        <item x="461"/>
        <item x="326"/>
        <item x="351"/>
        <item x="316"/>
        <item x="58"/>
        <item x="410"/>
        <item x="90"/>
        <item x="227"/>
        <item x="269"/>
        <item x="213"/>
        <item x="148"/>
        <item x="80"/>
        <item x="4"/>
        <item x="336"/>
        <item x="162"/>
        <item x="413"/>
        <item x="170"/>
        <item x="48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LOS" fld="1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0:C12" firstHeaderRow="0" firstDataRow="1" firstDataCol="1"/>
  <pivotFields count="21">
    <pivotField axis="axisRow" compact="0" showAll="0">
      <items count="14">
        <item h="1" x="10"/>
        <item x="0"/>
        <item h="1" x="6"/>
        <item h="1" x="11"/>
        <item h="1" x="9"/>
        <item h="1" x="3"/>
        <item h="1" x="7"/>
        <item h="1" x="2"/>
        <item h="1" x="5"/>
        <item h="1" x="1"/>
        <item h="1" x="4"/>
        <item h="1" x="8"/>
        <item h="1" x="12"/>
        <item t="default"/>
      </items>
    </pivotField>
    <pivotField dataField="1" compact="0" showAll="0">
      <items count="500">
        <item x="398"/>
        <item x="272"/>
        <item x="345"/>
        <item x="344"/>
        <item x="74"/>
        <item x="206"/>
        <item x="300"/>
        <item x="289"/>
        <item x="338"/>
        <item x="386"/>
        <item x="39"/>
        <item x="320"/>
        <item x="329"/>
        <item x="286"/>
        <item x="162"/>
        <item x="467"/>
        <item x="343"/>
        <item x="369"/>
        <item x="399"/>
        <item x="316"/>
        <item x="61"/>
        <item x="310"/>
        <item x="73"/>
        <item x="198"/>
        <item x="347"/>
        <item x="83"/>
        <item x="384"/>
        <item x="45"/>
        <item x="395"/>
        <item x="41"/>
        <item x="357"/>
        <item x="118"/>
        <item x="17"/>
        <item x="396"/>
        <item x="158"/>
        <item x="177"/>
        <item x="379"/>
        <item x="252"/>
        <item x="227"/>
        <item x="194"/>
        <item x="325"/>
        <item x="407"/>
        <item x="80"/>
        <item x="448"/>
        <item x="199"/>
        <item x="173"/>
        <item x="474"/>
        <item x="290"/>
        <item x="87"/>
        <item x="388"/>
        <item x="79"/>
        <item x="15"/>
        <item x="317"/>
        <item x="82"/>
        <item x="307"/>
        <item x="0"/>
        <item x="37"/>
        <item x="225"/>
        <item x="277"/>
        <item x="443"/>
        <item x="223"/>
        <item x="362"/>
        <item x="283"/>
        <item x="282"/>
        <item x="372"/>
        <item x="258"/>
        <item x="442"/>
        <item x="204"/>
        <item x="169"/>
        <item x="445"/>
        <item x="103"/>
        <item x="322"/>
        <item x="181"/>
        <item x="220"/>
        <item x="119"/>
        <item x="268"/>
        <item x="333"/>
        <item x="27"/>
        <item x="421"/>
        <item x="21"/>
        <item x="251"/>
        <item x="472"/>
        <item x="435"/>
        <item x="458"/>
        <item x="35"/>
        <item x="381"/>
        <item x="32"/>
        <item x="346"/>
        <item x="249"/>
        <item x="434"/>
        <item x="122"/>
        <item x="31"/>
        <item x="202"/>
        <item x="184"/>
        <item x="203"/>
        <item x="405"/>
        <item x="43"/>
        <item x="260"/>
        <item x="160"/>
        <item x="63"/>
        <item x="134"/>
        <item x="409"/>
        <item x="22"/>
        <item x="385"/>
        <item x="42"/>
        <item x="490"/>
        <item x="337"/>
        <item x="371"/>
        <item x="152"/>
        <item x="163"/>
        <item x="234"/>
        <item x="461"/>
        <item x="400"/>
        <item x="473"/>
        <item x="66"/>
        <item x="125"/>
        <item x="136"/>
        <item x="218"/>
        <item x="9"/>
        <item x="65"/>
        <item x="353"/>
        <item x="92"/>
        <item x="331"/>
        <item x="356"/>
        <item x="330"/>
        <item x="486"/>
        <item x="7"/>
        <item x="422"/>
        <item x="67"/>
        <item x="116"/>
        <item x="195"/>
        <item x="416"/>
        <item x="430"/>
        <item x="117"/>
        <item x="8"/>
        <item x="243"/>
        <item x="387"/>
        <item x="278"/>
        <item x="4"/>
        <item x="447"/>
        <item x="72"/>
        <item x="313"/>
        <item x="33"/>
        <item x="354"/>
        <item x="159"/>
        <item x="340"/>
        <item x="295"/>
        <item x="137"/>
        <item x="468"/>
        <item x="425"/>
        <item x="301"/>
        <item x="449"/>
        <item x="25"/>
        <item x="248"/>
        <item x="247"/>
        <item x="298"/>
        <item x="485"/>
        <item x="465"/>
        <item x="53"/>
        <item x="24"/>
        <item x="94"/>
        <item x="106"/>
        <item x="131"/>
        <item x="145"/>
        <item x="237"/>
        <item x="126"/>
        <item x="488"/>
        <item x="476"/>
        <item x="20"/>
        <item x="495"/>
        <item x="264"/>
        <item x="245"/>
        <item x="129"/>
        <item x="127"/>
        <item x="406"/>
        <item x="75"/>
        <item x="269"/>
        <item x="410"/>
        <item x="133"/>
        <item x="257"/>
        <item x="113"/>
        <item x="308"/>
        <item x="51"/>
        <item x="454"/>
        <item x="439"/>
        <item x="84"/>
        <item x="186"/>
        <item x="459"/>
        <item x="404"/>
        <item x="457"/>
        <item x="71"/>
        <item x="123"/>
        <item x="426"/>
        <item x="469"/>
        <item x="231"/>
        <item x="276"/>
        <item x="451"/>
        <item x="46"/>
        <item x="294"/>
        <item x="491"/>
        <item x="120"/>
        <item x="132"/>
        <item x="255"/>
        <item x="299"/>
        <item x="432"/>
        <item x="188"/>
        <item x="420"/>
        <item x="368"/>
        <item x="380"/>
        <item x="332"/>
        <item x="5"/>
        <item x="291"/>
        <item x="36"/>
        <item x="370"/>
        <item x="297"/>
        <item x="413"/>
        <item x="402"/>
        <item x="146"/>
        <item x="436"/>
        <item x="111"/>
        <item x="209"/>
        <item x="471"/>
        <item x="441"/>
        <item x="18"/>
        <item x="208"/>
        <item x="470"/>
        <item x="121"/>
        <item x="284"/>
        <item x="267"/>
        <item x="143"/>
        <item x="228"/>
        <item x="150"/>
        <item x="217"/>
        <item x="62"/>
        <item x="166"/>
        <item x="55"/>
        <item x="374"/>
        <item x="128"/>
        <item x="437"/>
        <item x="394"/>
        <item x="497"/>
        <item x="107"/>
        <item x="302"/>
        <item x="48"/>
        <item x="216"/>
        <item x="200"/>
        <item x="390"/>
        <item x="211"/>
        <item x="178"/>
        <item x="77"/>
        <item x="494"/>
        <item x="492"/>
        <item x="6"/>
        <item x="246"/>
        <item x="155"/>
        <item x="147"/>
        <item x="105"/>
        <item x="60"/>
        <item x="428"/>
        <item x="375"/>
        <item x="38"/>
        <item x="424"/>
        <item x="414"/>
        <item x="288"/>
        <item x="306"/>
        <item x="480"/>
        <item x="377"/>
        <item x="489"/>
        <item x="261"/>
        <item x="154"/>
        <item x="254"/>
        <item x="205"/>
        <item x="477"/>
        <item x="69"/>
        <item x="419"/>
        <item x="207"/>
        <item x="475"/>
        <item x="34"/>
        <item x="427"/>
        <item x="96"/>
        <item x="176"/>
        <item x="482"/>
        <item x="285"/>
        <item x="463"/>
        <item x="478"/>
        <item x="197"/>
        <item x="47"/>
        <item x="412"/>
        <item x="187"/>
        <item x="19"/>
        <item x="164"/>
        <item x="30"/>
        <item x="219"/>
        <item x="464"/>
        <item x="124"/>
        <item x="349"/>
        <item x="453"/>
        <item x="393"/>
        <item x="266"/>
        <item x="171"/>
        <item x="450"/>
        <item x="201"/>
        <item x="100"/>
        <item x="397"/>
        <item x="484"/>
        <item x="174"/>
        <item x="324"/>
        <item x="493"/>
        <item x="98"/>
        <item x="378"/>
        <item x="157"/>
        <item x="242"/>
        <item x="455"/>
        <item x="172"/>
        <item x="417"/>
        <item x="281"/>
        <item x="115"/>
        <item x="99"/>
        <item x="68"/>
        <item x="481"/>
        <item x="431"/>
        <item x="323"/>
        <item x="270"/>
        <item x="1"/>
        <item x="483"/>
        <item x="151"/>
        <item x="341"/>
        <item x="229"/>
        <item x="321"/>
        <item x="318"/>
        <item x="358"/>
        <item x="140"/>
        <item x="235"/>
        <item x="210"/>
        <item x="49"/>
        <item x="326"/>
        <item x="312"/>
        <item x="135"/>
        <item x="287"/>
        <item x="114"/>
        <item x="86"/>
        <item x="438"/>
        <item x="165"/>
        <item x="373"/>
        <item x="365"/>
        <item x="429"/>
        <item x="479"/>
        <item x="40"/>
        <item x="403"/>
        <item x="389"/>
        <item x="273"/>
        <item x="226"/>
        <item x="196"/>
        <item x="292"/>
        <item x="180"/>
        <item x="175"/>
        <item x="212"/>
        <item x="230"/>
        <item x="259"/>
        <item x="236"/>
        <item x="383"/>
        <item x="161"/>
        <item x="56"/>
        <item x="130"/>
        <item x="256"/>
        <item x="304"/>
        <item x="238"/>
        <item x="102"/>
        <item x="376"/>
        <item x="11"/>
        <item x="392"/>
        <item x="241"/>
        <item x="213"/>
        <item x="156"/>
        <item x="408"/>
        <item x="144"/>
        <item x="363"/>
        <item x="233"/>
        <item x="335"/>
        <item x="314"/>
        <item x="101"/>
        <item x="97"/>
        <item x="265"/>
        <item x="305"/>
        <item x="189"/>
        <item x="415"/>
        <item x="112"/>
        <item x="452"/>
        <item x="224"/>
        <item x="487"/>
        <item x="58"/>
        <item x="138"/>
        <item x="191"/>
        <item x="244"/>
        <item x="215"/>
        <item x="90"/>
        <item x="185"/>
        <item x="359"/>
        <item x="351"/>
        <item x="95"/>
        <item x="50"/>
        <item x="153"/>
        <item x="336"/>
        <item x="382"/>
        <item x="13"/>
        <item x="240"/>
        <item x="366"/>
        <item x="348"/>
        <item x="23"/>
        <item x="293"/>
        <item x="104"/>
        <item x="52"/>
        <item x="44"/>
        <item x="81"/>
        <item x="110"/>
        <item x="315"/>
        <item x="88"/>
        <item x="367"/>
        <item x="460"/>
        <item x="12"/>
        <item x="89"/>
        <item x="222"/>
        <item x="364"/>
        <item x="274"/>
        <item x="149"/>
        <item x="355"/>
        <item x="279"/>
        <item x="59"/>
        <item x="142"/>
        <item x="334"/>
        <item x="109"/>
        <item x="167"/>
        <item x="328"/>
        <item x="3"/>
        <item x="418"/>
        <item x="57"/>
        <item x="280"/>
        <item x="311"/>
        <item x="16"/>
        <item x="401"/>
        <item x="64"/>
        <item x="78"/>
        <item x="327"/>
        <item x="239"/>
        <item x="91"/>
        <item x="342"/>
        <item x="339"/>
        <item x="440"/>
        <item x="28"/>
        <item x="141"/>
        <item x="303"/>
        <item x="168"/>
        <item x="214"/>
        <item x="466"/>
        <item x="29"/>
        <item x="232"/>
        <item x="26"/>
        <item x="85"/>
        <item x="76"/>
        <item x="361"/>
        <item x="221"/>
        <item x="192"/>
        <item x="179"/>
        <item x="253"/>
        <item x="263"/>
        <item x="433"/>
        <item x="423"/>
        <item x="193"/>
        <item x="446"/>
        <item x="70"/>
        <item x="139"/>
        <item x="262"/>
        <item x="462"/>
        <item x="275"/>
        <item x="170"/>
        <item x="183"/>
        <item x="14"/>
        <item x="182"/>
        <item x="148"/>
        <item x="250"/>
        <item x="496"/>
        <item x="2"/>
        <item x="352"/>
        <item x="108"/>
        <item x="360"/>
        <item x="296"/>
        <item x="456"/>
        <item x="444"/>
        <item x="93"/>
        <item x="411"/>
        <item x="350"/>
        <item x="391"/>
        <item x="54"/>
        <item x="271"/>
        <item x="10"/>
        <item x="190"/>
        <item x="309"/>
        <item x="319"/>
        <item x="498"/>
        <item t="default"/>
      </items>
    </pivotField>
    <pivotField compact="0" showAll="0">
      <items count="53">
        <item x="43"/>
        <item x="17"/>
        <item x="32"/>
        <item x="6"/>
        <item x="7"/>
        <item x="15"/>
        <item x="40"/>
        <item x="37"/>
        <item x="31"/>
        <item x="38"/>
        <item x="48"/>
        <item x="46"/>
        <item x="25"/>
        <item x="26"/>
        <item x="30"/>
        <item x="34"/>
        <item x="41"/>
        <item x="49"/>
        <item x="9"/>
        <item x="33"/>
        <item x="11"/>
        <item x="50"/>
        <item x="44"/>
        <item x="42"/>
        <item x="8"/>
        <item x="45"/>
        <item x="1"/>
        <item x="24"/>
        <item x="5"/>
        <item x="23"/>
        <item x="39"/>
        <item x="35"/>
        <item x="13"/>
        <item x="21"/>
        <item x="47"/>
        <item x="2"/>
        <item x="3"/>
        <item x="18"/>
        <item x="20"/>
        <item x="22"/>
        <item x="16"/>
        <item x="10"/>
        <item x="14"/>
        <item x="12"/>
        <item x="28"/>
        <item x="4"/>
        <item x="36"/>
        <item x="0"/>
        <item x="27"/>
        <item x="19"/>
        <item x="29"/>
        <item x="51"/>
        <item t="default"/>
      </items>
    </pivotField>
    <pivotField compact="0" showAll="0">
      <items count="16">
        <item x="11"/>
        <item x="13"/>
        <item x="2"/>
        <item x="3"/>
        <item x="8"/>
        <item x="1"/>
        <item x="10"/>
        <item x="12"/>
        <item x="6"/>
        <item x="0"/>
        <item x="7"/>
        <item x="9"/>
        <item x="4"/>
        <item x="5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4"/>
        <item x="5"/>
        <item x="8"/>
        <item x="2"/>
        <item x="7"/>
        <item x="3"/>
        <item x="6"/>
        <item x="9"/>
        <item x="1"/>
        <item x="10"/>
        <item t="default"/>
      </items>
    </pivotField>
    <pivotField compact="0" showAll="0">
      <items count="12">
        <item x="5"/>
        <item x="9"/>
        <item x="7"/>
        <item x="8"/>
        <item x="6"/>
        <item x="1"/>
        <item x="3"/>
        <item x="0"/>
        <item x="2"/>
        <item x="4"/>
        <item x="10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94">
        <item x="6"/>
        <item x="105"/>
        <item x="120"/>
        <item x="287"/>
        <item x="260"/>
        <item x="283"/>
        <item x="179"/>
        <item x="191"/>
        <item x="91"/>
        <item x="273"/>
        <item x="131"/>
        <item x="266"/>
        <item x="107"/>
        <item x="185"/>
        <item x="228"/>
        <item x="233"/>
        <item x="269"/>
        <item x="10"/>
        <item x="146"/>
        <item x="224"/>
        <item x="63"/>
        <item x="281"/>
        <item x="61"/>
        <item x="127"/>
        <item x="144"/>
        <item x="67"/>
        <item x="245"/>
        <item x="248"/>
        <item x="111"/>
        <item x="164"/>
        <item x="157"/>
        <item x="244"/>
        <item x="192"/>
        <item x="227"/>
        <item x="143"/>
        <item x="152"/>
        <item x="16"/>
        <item x="19"/>
        <item x="288"/>
        <item x="217"/>
        <item x="24"/>
        <item x="121"/>
        <item x="135"/>
        <item x="132"/>
        <item x="41"/>
        <item x="137"/>
        <item x="25"/>
        <item x="22"/>
        <item x="184"/>
        <item x="284"/>
        <item x="194"/>
        <item x="212"/>
        <item x="18"/>
        <item x="28"/>
        <item x="197"/>
        <item x="261"/>
        <item x="126"/>
        <item x="119"/>
        <item x="290"/>
        <item x="114"/>
        <item x="92"/>
        <item x="247"/>
        <item x="262"/>
        <item x="57"/>
        <item x="37"/>
        <item x="80"/>
        <item x="289"/>
        <item x="58"/>
        <item x="34"/>
        <item x="42"/>
        <item x="141"/>
        <item x="82"/>
        <item x="1"/>
        <item x="241"/>
        <item x="178"/>
        <item x="77"/>
        <item x="249"/>
        <item x="20"/>
        <item x="94"/>
        <item x="286"/>
        <item x="47"/>
        <item x="140"/>
        <item x="230"/>
        <item x="165"/>
        <item x="36"/>
        <item x="151"/>
        <item x="29"/>
        <item x="238"/>
        <item x="242"/>
        <item x="190"/>
        <item x="115"/>
        <item x="117"/>
        <item x="3"/>
        <item x="50"/>
        <item x="246"/>
        <item x="110"/>
        <item x="72"/>
        <item x="98"/>
        <item x="145"/>
        <item x="89"/>
        <item x="56"/>
        <item x="182"/>
        <item x="100"/>
        <item x="275"/>
        <item x="276"/>
        <item x="83"/>
        <item x="142"/>
        <item x="220"/>
        <item x="147"/>
        <item x="74"/>
        <item x="168"/>
        <item x="268"/>
        <item x="169"/>
        <item x="234"/>
        <item x="7"/>
        <item x="159"/>
        <item x="43"/>
        <item x="38"/>
        <item x="31"/>
        <item x="198"/>
        <item x="52"/>
        <item x="218"/>
        <item x="4"/>
        <item x="62"/>
        <item x="102"/>
        <item x="253"/>
        <item x="204"/>
        <item x="68"/>
        <item x="263"/>
        <item x="35"/>
        <item x="161"/>
        <item x="5"/>
        <item x="73"/>
        <item x="93"/>
        <item x="254"/>
        <item x="90"/>
        <item x="229"/>
        <item x="208"/>
        <item x="65"/>
        <item x="125"/>
        <item x="8"/>
        <item x="48"/>
        <item x="206"/>
        <item x="291"/>
        <item x="23"/>
        <item x="160"/>
        <item x="226"/>
        <item x="12"/>
        <item x="250"/>
        <item x="32"/>
        <item x="207"/>
        <item x="39"/>
        <item x="0"/>
        <item x="213"/>
        <item x="271"/>
        <item x="21"/>
        <item x="45"/>
        <item x="156"/>
        <item x="14"/>
        <item x="96"/>
        <item x="188"/>
        <item x="189"/>
        <item x="183"/>
        <item x="108"/>
        <item x="30"/>
        <item x="221"/>
        <item x="101"/>
        <item x="139"/>
        <item x="196"/>
        <item x="87"/>
        <item x="201"/>
        <item x="17"/>
        <item x="219"/>
        <item x="148"/>
        <item x="239"/>
        <item x="255"/>
        <item x="265"/>
        <item x="170"/>
        <item x="153"/>
        <item x="79"/>
        <item x="40"/>
        <item x="150"/>
        <item x="187"/>
        <item x="257"/>
        <item x="2"/>
        <item x="88"/>
        <item x="99"/>
        <item x="104"/>
        <item x="136"/>
        <item x="78"/>
        <item x="69"/>
        <item x="167"/>
        <item x="26"/>
        <item x="116"/>
        <item x="181"/>
        <item x="240"/>
        <item x="124"/>
        <item x="186"/>
        <item x="236"/>
        <item x="44"/>
        <item x="278"/>
        <item x="70"/>
        <item x="33"/>
        <item x="84"/>
        <item x="53"/>
        <item x="202"/>
        <item x="172"/>
        <item x="149"/>
        <item x="162"/>
        <item x="106"/>
        <item x="195"/>
        <item x="277"/>
        <item x="180"/>
        <item x="112"/>
        <item x="13"/>
        <item x="11"/>
        <item x="54"/>
        <item x="97"/>
        <item x="258"/>
        <item x="27"/>
        <item x="138"/>
        <item x="46"/>
        <item x="225"/>
        <item x="231"/>
        <item x="237"/>
        <item x="9"/>
        <item x="193"/>
        <item x="209"/>
        <item x="85"/>
        <item x="59"/>
        <item x="175"/>
        <item x="243"/>
        <item x="133"/>
        <item x="174"/>
        <item x="103"/>
        <item x="66"/>
        <item x="270"/>
        <item x="256"/>
        <item x="171"/>
        <item x="216"/>
        <item x="113"/>
        <item x="128"/>
        <item x="232"/>
        <item x="109"/>
        <item x="177"/>
        <item x="199"/>
        <item x="280"/>
        <item x="163"/>
        <item x="155"/>
        <item x="210"/>
        <item x="267"/>
        <item x="76"/>
        <item x="158"/>
        <item x="251"/>
        <item x="130"/>
        <item x="15"/>
        <item x="285"/>
        <item x="55"/>
        <item x="215"/>
        <item x="274"/>
        <item x="154"/>
        <item x="222"/>
        <item x="118"/>
        <item x="279"/>
        <item x="252"/>
        <item x="282"/>
        <item x="176"/>
        <item x="272"/>
        <item x="95"/>
        <item x="223"/>
        <item x="81"/>
        <item x="122"/>
        <item x="259"/>
        <item x="214"/>
        <item x="264"/>
        <item x="75"/>
        <item x="86"/>
        <item x="71"/>
        <item x="51"/>
        <item x="200"/>
        <item x="60"/>
        <item x="129"/>
        <item x="123"/>
        <item x="211"/>
        <item x="49"/>
        <item x="205"/>
        <item x="235"/>
        <item x="64"/>
        <item x="166"/>
        <item x="203"/>
        <item x="134"/>
        <item x="173"/>
        <item x="292"/>
        <item t="default"/>
      </items>
    </pivotField>
    <pivotField compact="0" showAll="0">
      <items count="12">
        <item x="8"/>
        <item x="0"/>
        <item x="6"/>
        <item x="5"/>
        <item x="7"/>
        <item x="2"/>
        <item x="4"/>
        <item x="3"/>
        <item x="1"/>
        <item x="9"/>
        <item x="10"/>
        <item t="default"/>
      </items>
    </pivotField>
    <pivotField compact="0" showAll="0">
      <items count="8">
        <item x="1"/>
        <item x="3"/>
        <item x="2"/>
        <item x="0"/>
        <item x="5"/>
        <item x="4"/>
        <item x="6"/>
        <item t="default"/>
      </items>
    </pivotField>
    <pivotField compact="0" showAll="0">
      <items count="12">
        <item x="5"/>
        <item x="1"/>
        <item x="8"/>
        <item x="4"/>
        <item x="2"/>
        <item x="3"/>
        <item x="9"/>
        <item x="0"/>
        <item x="7"/>
        <item x="6"/>
        <item x="1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1"/>
        <item x="0"/>
        <item h="1" x="3"/>
        <item t="default"/>
      </items>
    </pivotField>
    <pivotField compact="0" showAll="0">
      <items count="10">
        <item x="0"/>
        <item x="5"/>
        <item x="6"/>
        <item x="4"/>
        <item x="2"/>
        <item x="1"/>
        <item x="3"/>
        <item x="7"/>
        <item x="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31">
        <item x="1"/>
        <item x="19"/>
        <item x="61"/>
        <item x="136"/>
        <item x="153"/>
        <item x="20"/>
        <item x="167"/>
        <item x="145"/>
        <item x="211"/>
        <item x="100"/>
        <item x="105"/>
        <item x="209"/>
        <item x="213"/>
        <item x="216"/>
        <item x="0"/>
        <item x="51"/>
        <item x="140"/>
        <item x="94"/>
        <item x="74"/>
        <item x="39"/>
        <item x="96"/>
        <item x="212"/>
        <item x="189"/>
        <item x="102"/>
        <item x="32"/>
        <item x="9"/>
        <item x="178"/>
        <item x="7"/>
        <item x="56"/>
        <item x="214"/>
        <item x="122"/>
        <item x="17"/>
        <item x="57"/>
        <item x="13"/>
        <item x="217"/>
        <item x="64"/>
        <item x="170"/>
        <item x="12"/>
        <item x="15"/>
        <item x="218"/>
        <item x="89"/>
        <item x="55"/>
        <item x="196"/>
        <item x="82"/>
        <item x="225"/>
        <item x="116"/>
        <item x="108"/>
        <item x="117"/>
        <item x="163"/>
        <item x="174"/>
        <item x="109"/>
        <item x="26"/>
        <item x="228"/>
        <item x="199"/>
        <item x="68"/>
        <item x="2"/>
        <item x="123"/>
        <item x="54"/>
        <item x="16"/>
        <item x="181"/>
        <item x="195"/>
        <item x="88"/>
        <item x="127"/>
        <item x="171"/>
        <item x="80"/>
        <item x="222"/>
        <item x="143"/>
        <item x="41"/>
        <item x="118"/>
        <item x="78"/>
        <item x="142"/>
        <item x="53"/>
        <item x="46"/>
        <item x="210"/>
        <item x="205"/>
        <item x="208"/>
        <item x="168"/>
        <item x="180"/>
        <item x="192"/>
        <item x="147"/>
        <item x="125"/>
        <item x="119"/>
        <item x="154"/>
        <item x="131"/>
        <item x="73"/>
        <item x="11"/>
        <item x="49"/>
        <item x="22"/>
        <item x="219"/>
        <item x="115"/>
        <item x="124"/>
        <item x="99"/>
        <item x="14"/>
        <item x="103"/>
        <item x="165"/>
        <item x="173"/>
        <item x="202"/>
        <item x="67"/>
        <item x="188"/>
        <item x="21"/>
        <item x="85"/>
        <item x="206"/>
        <item x="151"/>
        <item x="176"/>
        <item x="31"/>
        <item x="66"/>
        <item x="128"/>
        <item x="111"/>
        <item x="92"/>
        <item x="166"/>
        <item x="86"/>
        <item x="44"/>
        <item x="112"/>
        <item x="48"/>
        <item x="75"/>
        <item x="3"/>
        <item x="30"/>
        <item x="146"/>
        <item x="18"/>
        <item x="113"/>
        <item x="120"/>
        <item x="223"/>
        <item x="184"/>
        <item x="69"/>
        <item x="182"/>
        <item x="148"/>
        <item x="114"/>
        <item x="193"/>
        <item x="6"/>
        <item x="10"/>
        <item x="215"/>
        <item x="207"/>
        <item x="90"/>
        <item x="175"/>
        <item x="60"/>
        <item x="110"/>
        <item x="161"/>
        <item x="149"/>
        <item x="185"/>
        <item x="63"/>
        <item x="106"/>
        <item x="43"/>
        <item x="47"/>
        <item x="204"/>
        <item x="45"/>
        <item x="134"/>
        <item x="139"/>
        <item x="76"/>
        <item x="4"/>
        <item x="29"/>
        <item x="101"/>
        <item x="84"/>
        <item x="91"/>
        <item x="177"/>
        <item x="5"/>
        <item x="24"/>
        <item x="8"/>
        <item x="133"/>
        <item x="71"/>
        <item x="132"/>
        <item x="126"/>
        <item x="104"/>
        <item x="40"/>
        <item x="203"/>
        <item x="135"/>
        <item x="144"/>
        <item x="162"/>
        <item x="156"/>
        <item x="70"/>
        <item x="129"/>
        <item x="23"/>
        <item x="34"/>
        <item x="36"/>
        <item x="186"/>
        <item x="93"/>
        <item x="79"/>
        <item x="87"/>
        <item x="95"/>
        <item x="107"/>
        <item x="200"/>
        <item x="52"/>
        <item x="220"/>
        <item x="152"/>
        <item x="201"/>
        <item x="42"/>
        <item x="224"/>
        <item x="33"/>
        <item x="81"/>
        <item x="77"/>
        <item x="197"/>
        <item x="194"/>
        <item x="58"/>
        <item x="158"/>
        <item x="226"/>
        <item x="72"/>
        <item x="190"/>
        <item x="183"/>
        <item x="62"/>
        <item x="227"/>
        <item x="198"/>
        <item x="141"/>
        <item x="28"/>
        <item x="138"/>
        <item x="164"/>
        <item x="97"/>
        <item x="38"/>
        <item x="159"/>
        <item x="187"/>
        <item x="137"/>
        <item x="221"/>
        <item x="172"/>
        <item x="121"/>
        <item x="155"/>
        <item x="98"/>
        <item x="59"/>
        <item x="179"/>
        <item x="35"/>
        <item x="65"/>
        <item x="191"/>
        <item x="37"/>
        <item x="130"/>
        <item x="150"/>
        <item x="27"/>
        <item x="169"/>
        <item x="25"/>
        <item x="50"/>
        <item x="157"/>
        <item x="160"/>
        <item x="83"/>
        <item x="229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dataField="1" compact="0" showAll="0">
      <items count="484">
        <item x="362"/>
        <item x="439"/>
        <item x="307"/>
        <item x="26"/>
        <item x="384"/>
        <item x="167"/>
        <item x="176"/>
        <item x="290"/>
        <item x="464"/>
        <item x="159"/>
        <item x="465"/>
        <item x="359"/>
        <item x="247"/>
        <item x="74"/>
        <item x="253"/>
        <item x="426"/>
        <item x="185"/>
        <item x="285"/>
        <item x="409"/>
        <item x="191"/>
        <item x="169"/>
        <item x="89"/>
        <item x="343"/>
        <item x="454"/>
        <item x="44"/>
        <item x="107"/>
        <item x="396"/>
        <item x="163"/>
        <item x="385"/>
        <item x="130"/>
        <item x="48"/>
        <item x="63"/>
        <item x="390"/>
        <item x="424"/>
        <item x="423"/>
        <item x="252"/>
        <item x="348"/>
        <item x="367"/>
        <item x="201"/>
        <item x="197"/>
        <item x="41"/>
        <item x="6"/>
        <item x="37"/>
        <item x="325"/>
        <item x="254"/>
        <item x="312"/>
        <item x="272"/>
        <item x="452"/>
        <item x="132"/>
        <item x="342"/>
        <item x="473"/>
        <item x="125"/>
        <item x="418"/>
        <item x="355"/>
        <item x="91"/>
        <item x="321"/>
        <item x="435"/>
        <item x="23"/>
        <item x="260"/>
        <item x="445"/>
        <item x="151"/>
        <item x="450"/>
        <item x="320"/>
        <item x="72"/>
        <item x="467"/>
        <item x="469"/>
        <item x="363"/>
        <item x="420"/>
        <item x="364"/>
        <item x="101"/>
        <item x="31"/>
        <item x="375"/>
        <item x="242"/>
        <item x="291"/>
        <item x="322"/>
        <item x="0"/>
        <item x="192"/>
        <item x="298"/>
        <item x="289"/>
        <item x="277"/>
        <item x="2"/>
        <item x="29"/>
        <item x="51"/>
        <item x="259"/>
        <item x="250"/>
        <item x="39"/>
        <item x="449"/>
        <item x="232"/>
        <item x="136"/>
        <item x="381"/>
        <item x="460"/>
        <item x="422"/>
        <item x="75"/>
        <item x="195"/>
        <item x="134"/>
        <item x="256"/>
        <item x="226"/>
        <item x="105"/>
        <item x="345"/>
        <item x="177"/>
        <item x="93"/>
        <item x="218"/>
        <item x="327"/>
        <item x="318"/>
        <item x="180"/>
        <item x="200"/>
        <item x="377"/>
        <item x="442"/>
        <item x="431"/>
        <item x="238"/>
        <item x="245"/>
        <item x="99"/>
        <item x="370"/>
        <item x="466"/>
        <item x="412"/>
        <item x="299"/>
        <item x="281"/>
        <item x="154"/>
        <item x="117"/>
        <item x="248"/>
        <item x="416"/>
        <item x="352"/>
        <item x="36"/>
        <item x="189"/>
        <item x="73"/>
        <item x="477"/>
        <item x="204"/>
        <item x="79"/>
        <item x="346"/>
        <item x="45"/>
        <item x="17"/>
        <item x="451"/>
        <item x="207"/>
        <item x="408"/>
        <item x="233"/>
        <item x="249"/>
        <item x="9"/>
        <item x="222"/>
        <item x="18"/>
        <item x="350"/>
        <item x="183"/>
        <item x="357"/>
        <item x="145"/>
        <item x="142"/>
        <item x="106"/>
        <item x="129"/>
        <item x="194"/>
        <item x="182"/>
        <item x="140"/>
        <item x="274"/>
        <item x="427"/>
        <item x="155"/>
        <item x="25"/>
        <item x="86"/>
        <item x="67"/>
        <item x="71"/>
        <item x="231"/>
        <item x="328"/>
        <item x="5"/>
        <item x="353"/>
        <item x="308"/>
        <item x="203"/>
        <item x="339"/>
        <item x="414"/>
        <item x="54"/>
        <item x="168"/>
        <item x="311"/>
        <item x="395"/>
        <item x="158"/>
        <item x="53"/>
        <item x="280"/>
        <item x="77"/>
        <item x="476"/>
        <item x="261"/>
        <item x="220"/>
        <item x="428"/>
        <item x="1"/>
        <item x="181"/>
        <item x="22"/>
        <item x="198"/>
        <item x="432"/>
        <item x="205"/>
        <item x="196"/>
        <item x="434"/>
        <item x="332"/>
        <item x="400"/>
        <item x="94"/>
        <item x="122"/>
        <item x="111"/>
        <item x="297"/>
        <item x="166"/>
        <item x="118"/>
        <item x="302"/>
        <item x="371"/>
        <item x="27"/>
        <item x="32"/>
        <item x="407"/>
        <item x="287"/>
        <item x="358"/>
        <item x="288"/>
        <item x="146"/>
        <item x="444"/>
        <item x="164"/>
        <item x="153"/>
        <item x="38"/>
        <item x="406"/>
        <item x="69"/>
        <item x="458"/>
        <item x="475"/>
        <item x="138"/>
        <item x="178"/>
        <item x="87"/>
        <item x="43"/>
        <item x="116"/>
        <item x="443"/>
        <item x="121"/>
        <item x="131"/>
        <item x="264"/>
        <item x="411"/>
        <item x="388"/>
        <item x="46"/>
        <item x="309"/>
        <item x="481"/>
        <item x="479"/>
        <item x="171"/>
        <item x="24"/>
        <item x="102"/>
        <item x="365"/>
        <item x="330"/>
        <item x="455"/>
        <item x="30"/>
        <item x="103"/>
        <item x="284"/>
        <item x="109"/>
        <item x="175"/>
        <item x="392"/>
        <item x="143"/>
        <item x="447"/>
        <item x="402"/>
        <item x="382"/>
        <item x="152"/>
        <item x="478"/>
        <item x="456"/>
        <item x="474"/>
        <item x="165"/>
        <item x="235"/>
        <item x="100"/>
        <item x="295"/>
        <item x="149"/>
        <item x="56"/>
        <item x="361"/>
        <item x="344"/>
        <item x="263"/>
        <item x="268"/>
        <item x="147"/>
        <item x="310"/>
        <item x="240"/>
        <item x="258"/>
        <item x="108"/>
        <item x="300"/>
        <item x="405"/>
        <item x="283"/>
        <item x="184"/>
        <item x="463"/>
        <item x="462"/>
        <item x="133"/>
        <item x="421"/>
        <item x="150"/>
        <item x="243"/>
        <item x="480"/>
        <item x="368"/>
        <item x="317"/>
        <item x="156"/>
        <item x="239"/>
        <item x="391"/>
        <item x="188"/>
        <item x="52"/>
        <item x="12"/>
        <item x="61"/>
        <item x="33"/>
        <item x="468"/>
        <item x="301"/>
        <item x="20"/>
        <item x="459"/>
        <item x="98"/>
        <item x="172"/>
        <item x="82"/>
        <item x="329"/>
        <item x="95"/>
        <item x="389"/>
        <item x="160"/>
        <item x="403"/>
        <item x="448"/>
        <item x="59"/>
        <item x="457"/>
        <item x="471"/>
        <item x="296"/>
        <item x="139"/>
        <item x="119"/>
        <item x="419"/>
        <item x="376"/>
        <item x="64"/>
        <item x="217"/>
        <item x="366"/>
        <item x="229"/>
        <item x="211"/>
        <item x="47"/>
        <item x="282"/>
        <item x="225"/>
        <item x="216"/>
        <item x="202"/>
        <item x="267"/>
        <item x="13"/>
        <item x="186"/>
        <item x="453"/>
        <item x="472"/>
        <item x="369"/>
        <item x="255"/>
        <item x="436"/>
        <item x="338"/>
        <item x="57"/>
        <item x="386"/>
        <item x="440"/>
        <item x="104"/>
        <item x="62"/>
        <item x="415"/>
        <item x="230"/>
        <item x="236"/>
        <item x="437"/>
        <item x="257"/>
        <item x="323"/>
        <item x="470"/>
        <item x="14"/>
        <item x="397"/>
        <item x="224"/>
        <item x="373"/>
        <item x="378"/>
        <item x="276"/>
        <item x="84"/>
        <item x="441"/>
        <item x="251"/>
        <item x="305"/>
        <item x="42"/>
        <item x="234"/>
        <item x="144"/>
        <item x="380"/>
        <item x="120"/>
        <item x="10"/>
        <item x="279"/>
        <item x="88"/>
        <item x="241"/>
        <item x="314"/>
        <item x="356"/>
        <item x="331"/>
        <item x="319"/>
        <item x="349"/>
        <item x="262"/>
        <item x="404"/>
        <item x="19"/>
        <item x="209"/>
        <item x="97"/>
        <item x="393"/>
        <item x="430"/>
        <item x="429"/>
        <item x="271"/>
        <item x="244"/>
        <item x="206"/>
        <item x="135"/>
        <item x="303"/>
        <item x="399"/>
        <item x="28"/>
        <item x="112"/>
        <item x="85"/>
        <item x="16"/>
        <item x="179"/>
        <item x="425"/>
        <item x="372"/>
        <item x="3"/>
        <item x="173"/>
        <item x="387"/>
        <item x="174"/>
        <item x="127"/>
        <item x="34"/>
        <item x="374"/>
        <item x="68"/>
        <item x="11"/>
        <item x="286"/>
        <item x="40"/>
        <item x="123"/>
        <item x="313"/>
        <item x="15"/>
        <item x="50"/>
        <item x="161"/>
        <item x="110"/>
        <item x="275"/>
        <item x="340"/>
        <item x="212"/>
        <item x="193"/>
        <item x="324"/>
        <item x="335"/>
        <item x="92"/>
        <item x="215"/>
        <item x="293"/>
        <item x="265"/>
        <item x="115"/>
        <item x="78"/>
        <item x="315"/>
        <item x="8"/>
        <item x="270"/>
        <item x="223"/>
        <item x="137"/>
        <item x="266"/>
        <item x="141"/>
        <item x="21"/>
        <item x="126"/>
        <item x="433"/>
        <item x="35"/>
        <item x="334"/>
        <item x="246"/>
        <item x="292"/>
        <item x="199"/>
        <item x="65"/>
        <item x="190"/>
        <item x="379"/>
        <item x="306"/>
        <item x="219"/>
        <item x="7"/>
        <item x="383"/>
        <item x="294"/>
        <item x="341"/>
        <item x="417"/>
        <item x="304"/>
        <item x="187"/>
        <item x="446"/>
        <item x="81"/>
        <item x="128"/>
        <item x="83"/>
        <item x="70"/>
        <item x="96"/>
        <item x="113"/>
        <item x="214"/>
        <item x="124"/>
        <item x="337"/>
        <item x="49"/>
        <item x="401"/>
        <item x="210"/>
        <item x="360"/>
        <item x="278"/>
        <item x="347"/>
        <item x="398"/>
        <item x="237"/>
        <item x="273"/>
        <item x="333"/>
        <item x="157"/>
        <item x="55"/>
        <item x="221"/>
        <item x="438"/>
        <item x="66"/>
        <item x="114"/>
        <item x="208"/>
        <item x="60"/>
        <item x="76"/>
        <item x="394"/>
        <item x="354"/>
        <item x="228"/>
        <item x="461"/>
        <item x="326"/>
        <item x="351"/>
        <item x="316"/>
        <item x="58"/>
        <item x="410"/>
        <item x="90"/>
        <item x="227"/>
        <item x="269"/>
        <item x="213"/>
        <item x="148"/>
        <item x="80"/>
        <item x="4"/>
        <item x="336"/>
        <item x="162"/>
        <item x="413"/>
        <item x="170"/>
        <item x="482"/>
        <item t="default"/>
      </items>
    </pivotField>
  </pivotFields>
  <rowFields count="1">
    <field x="0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0" baseField="0" baseItem="0"/>
    <dataField name="Count of Case_No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10:F13" firstHeaderRow="1" firstDataRow="1" firstDataCol="1"/>
  <pivotFields count="21">
    <pivotField compact="0" showAll="0">
      <items count="14">
        <item h="1" x="10"/>
        <item x="0"/>
        <item h="1" x="6"/>
        <item h="1" x="11"/>
        <item h="1" x="9"/>
        <item h="1" x="3"/>
        <item h="1" x="7"/>
        <item h="1" x="2"/>
        <item h="1" x="5"/>
        <item h="1" x="1"/>
        <item h="1" x="4"/>
        <item h="1" x="8"/>
        <item h="1" x="12"/>
        <item t="default"/>
      </items>
    </pivotField>
    <pivotField dataField="1" compact="0" showAll="0">
      <items count="500">
        <item x="398"/>
        <item x="272"/>
        <item x="345"/>
        <item x="344"/>
        <item x="74"/>
        <item x="206"/>
        <item x="300"/>
        <item x="289"/>
        <item x="338"/>
        <item x="386"/>
        <item x="39"/>
        <item x="320"/>
        <item x="329"/>
        <item x="286"/>
        <item x="162"/>
        <item x="467"/>
        <item x="343"/>
        <item x="369"/>
        <item x="399"/>
        <item x="316"/>
        <item x="61"/>
        <item x="310"/>
        <item x="73"/>
        <item x="198"/>
        <item x="347"/>
        <item x="83"/>
        <item x="384"/>
        <item x="45"/>
        <item x="395"/>
        <item x="41"/>
        <item x="357"/>
        <item x="118"/>
        <item x="17"/>
        <item x="396"/>
        <item x="158"/>
        <item x="177"/>
        <item x="379"/>
        <item x="252"/>
        <item x="227"/>
        <item x="194"/>
        <item x="325"/>
        <item x="407"/>
        <item x="80"/>
        <item x="448"/>
        <item x="199"/>
        <item x="173"/>
        <item x="474"/>
        <item x="290"/>
        <item x="87"/>
        <item x="388"/>
        <item x="79"/>
        <item x="15"/>
        <item x="317"/>
        <item x="82"/>
        <item x="307"/>
        <item x="0"/>
        <item x="37"/>
        <item x="225"/>
        <item x="277"/>
        <item x="443"/>
        <item x="223"/>
        <item x="362"/>
        <item x="283"/>
        <item x="282"/>
        <item x="372"/>
        <item x="258"/>
        <item x="442"/>
        <item x="204"/>
        <item x="169"/>
        <item x="445"/>
        <item x="103"/>
        <item x="322"/>
        <item x="181"/>
        <item x="220"/>
        <item x="119"/>
        <item x="268"/>
        <item x="333"/>
        <item x="27"/>
        <item x="421"/>
        <item x="21"/>
        <item x="251"/>
        <item x="472"/>
        <item x="435"/>
        <item x="458"/>
        <item x="35"/>
        <item x="381"/>
        <item x="32"/>
        <item x="346"/>
        <item x="249"/>
        <item x="434"/>
        <item x="122"/>
        <item x="31"/>
        <item x="202"/>
        <item x="184"/>
        <item x="203"/>
        <item x="405"/>
        <item x="43"/>
        <item x="260"/>
        <item x="160"/>
        <item x="63"/>
        <item x="134"/>
        <item x="409"/>
        <item x="22"/>
        <item x="385"/>
        <item x="42"/>
        <item x="490"/>
        <item x="337"/>
        <item x="371"/>
        <item x="152"/>
        <item x="163"/>
        <item x="234"/>
        <item x="461"/>
        <item x="400"/>
        <item x="473"/>
        <item x="66"/>
        <item x="125"/>
        <item x="136"/>
        <item x="218"/>
        <item x="9"/>
        <item x="65"/>
        <item x="353"/>
        <item x="92"/>
        <item x="331"/>
        <item x="356"/>
        <item x="330"/>
        <item x="486"/>
        <item x="7"/>
        <item x="422"/>
        <item x="67"/>
        <item x="116"/>
        <item x="195"/>
        <item x="416"/>
        <item x="430"/>
        <item x="117"/>
        <item x="8"/>
        <item x="243"/>
        <item x="387"/>
        <item x="278"/>
        <item x="4"/>
        <item x="447"/>
        <item x="72"/>
        <item x="313"/>
        <item x="33"/>
        <item x="354"/>
        <item x="159"/>
        <item x="340"/>
        <item x="295"/>
        <item x="137"/>
        <item x="468"/>
        <item x="425"/>
        <item x="301"/>
        <item x="449"/>
        <item x="25"/>
        <item x="248"/>
        <item x="247"/>
        <item x="298"/>
        <item x="485"/>
        <item x="465"/>
        <item x="53"/>
        <item x="24"/>
        <item x="94"/>
        <item x="106"/>
        <item x="131"/>
        <item x="145"/>
        <item x="237"/>
        <item x="126"/>
        <item x="488"/>
        <item x="476"/>
        <item x="20"/>
        <item x="495"/>
        <item x="264"/>
        <item x="245"/>
        <item x="129"/>
        <item x="127"/>
        <item x="406"/>
        <item x="75"/>
        <item x="269"/>
        <item x="410"/>
        <item x="133"/>
        <item x="257"/>
        <item x="113"/>
        <item x="308"/>
        <item x="51"/>
        <item x="454"/>
        <item x="439"/>
        <item x="84"/>
        <item x="186"/>
        <item x="459"/>
        <item x="404"/>
        <item x="457"/>
        <item x="71"/>
        <item x="123"/>
        <item x="426"/>
        <item x="469"/>
        <item x="231"/>
        <item x="276"/>
        <item x="451"/>
        <item x="46"/>
        <item x="294"/>
        <item x="491"/>
        <item x="120"/>
        <item x="132"/>
        <item x="255"/>
        <item x="299"/>
        <item x="432"/>
        <item x="188"/>
        <item x="420"/>
        <item x="368"/>
        <item x="380"/>
        <item x="332"/>
        <item x="5"/>
        <item x="291"/>
        <item x="36"/>
        <item x="370"/>
        <item x="297"/>
        <item x="413"/>
        <item x="402"/>
        <item x="146"/>
        <item x="436"/>
        <item x="111"/>
        <item x="209"/>
        <item x="471"/>
        <item x="441"/>
        <item x="18"/>
        <item x="208"/>
        <item x="470"/>
        <item x="121"/>
        <item x="284"/>
        <item x="267"/>
        <item x="143"/>
        <item x="228"/>
        <item x="150"/>
        <item x="217"/>
        <item x="62"/>
        <item x="166"/>
        <item x="55"/>
        <item x="374"/>
        <item x="128"/>
        <item x="437"/>
        <item x="394"/>
        <item x="497"/>
        <item x="107"/>
        <item x="302"/>
        <item x="48"/>
        <item x="216"/>
        <item x="200"/>
        <item x="390"/>
        <item x="211"/>
        <item x="178"/>
        <item x="77"/>
        <item x="494"/>
        <item x="492"/>
        <item x="6"/>
        <item x="246"/>
        <item x="155"/>
        <item x="147"/>
        <item x="105"/>
        <item x="60"/>
        <item x="428"/>
        <item x="375"/>
        <item x="38"/>
        <item x="424"/>
        <item x="414"/>
        <item x="288"/>
        <item x="306"/>
        <item x="480"/>
        <item x="377"/>
        <item x="489"/>
        <item x="261"/>
        <item x="154"/>
        <item x="254"/>
        <item x="205"/>
        <item x="477"/>
        <item x="69"/>
        <item x="419"/>
        <item x="207"/>
        <item x="475"/>
        <item x="34"/>
        <item x="427"/>
        <item x="96"/>
        <item x="176"/>
        <item x="482"/>
        <item x="285"/>
        <item x="463"/>
        <item x="478"/>
        <item x="197"/>
        <item x="47"/>
        <item x="412"/>
        <item x="187"/>
        <item x="19"/>
        <item x="164"/>
        <item x="30"/>
        <item x="219"/>
        <item x="464"/>
        <item x="124"/>
        <item x="349"/>
        <item x="453"/>
        <item x="393"/>
        <item x="266"/>
        <item x="171"/>
        <item x="450"/>
        <item x="201"/>
        <item x="100"/>
        <item x="397"/>
        <item x="484"/>
        <item x="174"/>
        <item x="324"/>
        <item x="493"/>
        <item x="98"/>
        <item x="378"/>
        <item x="157"/>
        <item x="242"/>
        <item x="455"/>
        <item x="172"/>
        <item x="417"/>
        <item x="281"/>
        <item x="115"/>
        <item x="99"/>
        <item x="68"/>
        <item x="481"/>
        <item x="431"/>
        <item x="323"/>
        <item x="270"/>
        <item x="1"/>
        <item x="483"/>
        <item x="151"/>
        <item x="341"/>
        <item x="229"/>
        <item x="321"/>
        <item x="318"/>
        <item x="358"/>
        <item x="140"/>
        <item x="235"/>
        <item x="210"/>
        <item x="49"/>
        <item x="326"/>
        <item x="312"/>
        <item x="135"/>
        <item x="287"/>
        <item x="114"/>
        <item x="86"/>
        <item x="438"/>
        <item x="165"/>
        <item x="373"/>
        <item x="365"/>
        <item x="429"/>
        <item x="479"/>
        <item x="40"/>
        <item x="403"/>
        <item x="389"/>
        <item x="273"/>
        <item x="226"/>
        <item x="196"/>
        <item x="292"/>
        <item x="180"/>
        <item x="175"/>
        <item x="212"/>
        <item x="230"/>
        <item x="259"/>
        <item x="236"/>
        <item x="383"/>
        <item x="161"/>
        <item x="56"/>
        <item x="130"/>
        <item x="256"/>
        <item x="304"/>
        <item x="238"/>
        <item x="102"/>
        <item x="376"/>
        <item x="11"/>
        <item x="392"/>
        <item x="241"/>
        <item x="213"/>
        <item x="156"/>
        <item x="408"/>
        <item x="144"/>
        <item x="363"/>
        <item x="233"/>
        <item x="335"/>
        <item x="314"/>
        <item x="101"/>
        <item x="97"/>
        <item x="265"/>
        <item x="305"/>
        <item x="189"/>
        <item x="415"/>
        <item x="112"/>
        <item x="452"/>
        <item x="224"/>
        <item x="487"/>
        <item x="58"/>
        <item x="138"/>
        <item x="191"/>
        <item x="244"/>
        <item x="215"/>
        <item x="90"/>
        <item x="185"/>
        <item x="359"/>
        <item x="351"/>
        <item x="95"/>
        <item x="50"/>
        <item x="153"/>
        <item x="336"/>
        <item x="382"/>
        <item x="13"/>
        <item x="240"/>
        <item x="366"/>
        <item x="348"/>
        <item x="23"/>
        <item x="293"/>
        <item x="104"/>
        <item x="52"/>
        <item x="44"/>
        <item x="81"/>
        <item x="110"/>
        <item x="315"/>
        <item x="88"/>
        <item x="367"/>
        <item x="460"/>
        <item x="12"/>
        <item x="89"/>
        <item x="222"/>
        <item x="364"/>
        <item x="274"/>
        <item x="149"/>
        <item x="355"/>
        <item x="279"/>
        <item x="59"/>
        <item x="142"/>
        <item x="334"/>
        <item x="109"/>
        <item x="167"/>
        <item x="328"/>
        <item x="3"/>
        <item x="418"/>
        <item x="57"/>
        <item x="280"/>
        <item x="311"/>
        <item x="16"/>
        <item x="401"/>
        <item x="64"/>
        <item x="78"/>
        <item x="327"/>
        <item x="239"/>
        <item x="91"/>
        <item x="342"/>
        <item x="339"/>
        <item x="440"/>
        <item x="28"/>
        <item x="141"/>
        <item x="303"/>
        <item x="168"/>
        <item x="214"/>
        <item x="466"/>
        <item x="29"/>
        <item x="232"/>
        <item x="26"/>
        <item x="85"/>
        <item x="76"/>
        <item x="361"/>
        <item x="221"/>
        <item x="192"/>
        <item x="179"/>
        <item x="253"/>
        <item x="263"/>
        <item x="433"/>
        <item x="423"/>
        <item x="193"/>
        <item x="446"/>
        <item x="70"/>
        <item x="139"/>
        <item x="262"/>
        <item x="462"/>
        <item x="275"/>
        <item x="170"/>
        <item x="183"/>
        <item x="14"/>
        <item x="182"/>
        <item x="148"/>
        <item x="250"/>
        <item x="496"/>
        <item x="2"/>
        <item x="352"/>
        <item x="108"/>
        <item x="360"/>
        <item x="296"/>
        <item x="456"/>
        <item x="444"/>
        <item x="93"/>
        <item x="411"/>
        <item x="350"/>
        <item x="391"/>
        <item x="54"/>
        <item x="271"/>
        <item x="10"/>
        <item x="190"/>
        <item x="309"/>
        <item x="319"/>
        <item x="498"/>
        <item t="default"/>
      </items>
    </pivotField>
    <pivotField compact="0" showAll="0">
      <items count="53">
        <item x="43"/>
        <item x="17"/>
        <item x="32"/>
        <item x="6"/>
        <item x="7"/>
        <item x="15"/>
        <item x="40"/>
        <item x="37"/>
        <item x="31"/>
        <item x="38"/>
        <item x="48"/>
        <item x="46"/>
        <item x="25"/>
        <item x="26"/>
        <item x="30"/>
        <item x="34"/>
        <item x="41"/>
        <item x="49"/>
        <item x="9"/>
        <item x="33"/>
        <item x="11"/>
        <item x="50"/>
        <item x="44"/>
        <item x="42"/>
        <item x="8"/>
        <item x="45"/>
        <item x="1"/>
        <item x="24"/>
        <item x="5"/>
        <item x="23"/>
        <item x="39"/>
        <item x="35"/>
        <item x="13"/>
        <item x="21"/>
        <item x="47"/>
        <item x="2"/>
        <item x="3"/>
        <item x="18"/>
        <item x="20"/>
        <item x="22"/>
        <item x="16"/>
        <item x="10"/>
        <item x="14"/>
        <item x="12"/>
        <item x="28"/>
        <item x="4"/>
        <item x="36"/>
        <item x="0"/>
        <item x="27"/>
        <item x="19"/>
        <item x="29"/>
        <item x="51"/>
        <item t="default"/>
      </items>
    </pivotField>
    <pivotField compact="0" showAll="0">
      <items count="16">
        <item x="11"/>
        <item x="13"/>
        <item x="2"/>
        <item x="3"/>
        <item x="8"/>
        <item x="1"/>
        <item x="10"/>
        <item x="12"/>
        <item x="6"/>
        <item x="0"/>
        <item x="7"/>
        <item x="9"/>
        <item x="4"/>
        <item x="5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4"/>
        <item x="5"/>
        <item x="8"/>
        <item x="2"/>
        <item x="7"/>
        <item x="3"/>
        <item x="6"/>
        <item x="9"/>
        <item x="1"/>
        <item x="10"/>
        <item t="default"/>
      </items>
    </pivotField>
    <pivotField compact="0" showAll="0">
      <items count="12">
        <item x="5"/>
        <item x="9"/>
        <item x="7"/>
        <item x="8"/>
        <item x="6"/>
        <item x="1"/>
        <item x="3"/>
        <item x="0"/>
        <item x="2"/>
        <item x="4"/>
        <item x="10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94">
        <item x="6"/>
        <item x="105"/>
        <item x="120"/>
        <item x="287"/>
        <item x="260"/>
        <item x="283"/>
        <item x="179"/>
        <item x="191"/>
        <item x="91"/>
        <item x="273"/>
        <item x="131"/>
        <item x="266"/>
        <item x="107"/>
        <item x="185"/>
        <item x="228"/>
        <item x="233"/>
        <item x="269"/>
        <item x="10"/>
        <item x="146"/>
        <item x="224"/>
        <item x="63"/>
        <item x="281"/>
        <item x="61"/>
        <item x="127"/>
        <item x="144"/>
        <item x="67"/>
        <item x="245"/>
        <item x="248"/>
        <item x="111"/>
        <item x="164"/>
        <item x="157"/>
        <item x="244"/>
        <item x="192"/>
        <item x="227"/>
        <item x="143"/>
        <item x="152"/>
        <item x="16"/>
        <item x="19"/>
        <item x="288"/>
        <item x="217"/>
        <item x="24"/>
        <item x="121"/>
        <item x="135"/>
        <item x="132"/>
        <item x="41"/>
        <item x="137"/>
        <item x="25"/>
        <item x="22"/>
        <item x="184"/>
        <item x="284"/>
        <item x="194"/>
        <item x="212"/>
        <item x="18"/>
        <item x="28"/>
        <item x="197"/>
        <item x="261"/>
        <item x="126"/>
        <item x="119"/>
        <item x="290"/>
        <item x="114"/>
        <item x="92"/>
        <item x="247"/>
        <item x="262"/>
        <item x="57"/>
        <item x="37"/>
        <item x="80"/>
        <item x="289"/>
        <item x="58"/>
        <item x="34"/>
        <item x="42"/>
        <item x="141"/>
        <item x="82"/>
        <item x="1"/>
        <item x="241"/>
        <item x="178"/>
        <item x="77"/>
        <item x="249"/>
        <item x="20"/>
        <item x="94"/>
        <item x="286"/>
        <item x="47"/>
        <item x="140"/>
        <item x="230"/>
        <item x="165"/>
        <item x="36"/>
        <item x="151"/>
        <item x="29"/>
        <item x="238"/>
        <item x="242"/>
        <item x="190"/>
        <item x="115"/>
        <item x="117"/>
        <item x="3"/>
        <item x="50"/>
        <item x="246"/>
        <item x="110"/>
        <item x="72"/>
        <item x="98"/>
        <item x="145"/>
        <item x="89"/>
        <item x="56"/>
        <item x="182"/>
        <item x="100"/>
        <item x="275"/>
        <item x="276"/>
        <item x="83"/>
        <item x="142"/>
        <item x="220"/>
        <item x="147"/>
        <item x="74"/>
        <item x="168"/>
        <item x="268"/>
        <item x="169"/>
        <item x="234"/>
        <item x="7"/>
        <item x="159"/>
        <item x="43"/>
        <item x="38"/>
        <item x="31"/>
        <item x="198"/>
        <item x="52"/>
        <item x="218"/>
        <item x="4"/>
        <item x="62"/>
        <item x="102"/>
        <item x="253"/>
        <item x="204"/>
        <item x="68"/>
        <item x="263"/>
        <item x="35"/>
        <item x="161"/>
        <item x="5"/>
        <item x="73"/>
        <item x="93"/>
        <item x="254"/>
        <item x="90"/>
        <item x="229"/>
        <item x="208"/>
        <item x="65"/>
        <item x="125"/>
        <item x="8"/>
        <item x="48"/>
        <item x="206"/>
        <item x="291"/>
        <item x="23"/>
        <item x="160"/>
        <item x="226"/>
        <item x="12"/>
        <item x="250"/>
        <item x="32"/>
        <item x="207"/>
        <item x="39"/>
        <item x="0"/>
        <item x="213"/>
        <item x="271"/>
        <item x="21"/>
        <item x="45"/>
        <item x="156"/>
        <item x="14"/>
        <item x="96"/>
        <item x="188"/>
        <item x="189"/>
        <item x="183"/>
        <item x="108"/>
        <item x="30"/>
        <item x="221"/>
        <item x="101"/>
        <item x="139"/>
        <item x="196"/>
        <item x="87"/>
        <item x="201"/>
        <item x="17"/>
        <item x="219"/>
        <item x="148"/>
        <item x="239"/>
        <item x="255"/>
        <item x="265"/>
        <item x="170"/>
        <item x="153"/>
        <item x="79"/>
        <item x="40"/>
        <item x="150"/>
        <item x="187"/>
        <item x="257"/>
        <item x="2"/>
        <item x="88"/>
        <item x="99"/>
        <item x="104"/>
        <item x="136"/>
        <item x="78"/>
        <item x="69"/>
        <item x="167"/>
        <item x="26"/>
        <item x="116"/>
        <item x="181"/>
        <item x="240"/>
        <item x="124"/>
        <item x="186"/>
        <item x="236"/>
        <item x="44"/>
        <item x="278"/>
        <item x="70"/>
        <item x="33"/>
        <item x="84"/>
        <item x="53"/>
        <item x="202"/>
        <item x="172"/>
        <item x="149"/>
        <item x="162"/>
        <item x="106"/>
        <item x="195"/>
        <item x="277"/>
        <item x="180"/>
        <item x="112"/>
        <item x="13"/>
        <item x="11"/>
        <item x="54"/>
        <item x="97"/>
        <item x="258"/>
        <item x="27"/>
        <item x="138"/>
        <item x="46"/>
        <item x="225"/>
        <item x="231"/>
        <item x="237"/>
        <item x="9"/>
        <item x="193"/>
        <item x="209"/>
        <item x="85"/>
        <item x="59"/>
        <item x="175"/>
        <item x="243"/>
        <item x="133"/>
        <item x="174"/>
        <item x="103"/>
        <item x="66"/>
        <item x="270"/>
        <item x="256"/>
        <item x="171"/>
        <item x="216"/>
        <item x="113"/>
        <item x="128"/>
        <item x="232"/>
        <item x="109"/>
        <item x="177"/>
        <item x="199"/>
        <item x="280"/>
        <item x="163"/>
        <item x="155"/>
        <item x="210"/>
        <item x="267"/>
        <item x="76"/>
        <item x="158"/>
        <item x="251"/>
        <item x="130"/>
        <item x="15"/>
        <item x="285"/>
        <item x="55"/>
        <item x="215"/>
        <item x="274"/>
        <item x="154"/>
        <item x="222"/>
        <item x="118"/>
        <item x="279"/>
        <item x="252"/>
        <item x="282"/>
        <item x="176"/>
        <item x="272"/>
        <item x="95"/>
        <item x="223"/>
        <item x="81"/>
        <item x="122"/>
        <item x="259"/>
        <item x="214"/>
        <item x="264"/>
        <item x="75"/>
        <item x="86"/>
        <item x="71"/>
        <item x="51"/>
        <item x="200"/>
        <item x="60"/>
        <item x="129"/>
        <item x="123"/>
        <item x="211"/>
        <item x="49"/>
        <item x="205"/>
        <item x="235"/>
        <item x="64"/>
        <item x="166"/>
        <item x="203"/>
        <item x="134"/>
        <item x="173"/>
        <item x="292"/>
        <item t="default"/>
      </items>
    </pivotField>
    <pivotField compact="0" showAll="0">
      <items count="12">
        <item x="8"/>
        <item x="0"/>
        <item x="6"/>
        <item x="5"/>
        <item x="7"/>
        <item x="2"/>
        <item x="4"/>
        <item x="3"/>
        <item x="1"/>
        <item x="9"/>
        <item x="10"/>
        <item t="default"/>
      </items>
    </pivotField>
    <pivotField compact="0" showAll="0">
      <items count="8">
        <item x="1"/>
        <item x="3"/>
        <item x="2"/>
        <item x="0"/>
        <item x="5"/>
        <item x="4"/>
        <item x="6"/>
        <item t="default"/>
      </items>
    </pivotField>
    <pivotField compact="0" showAll="0">
      <items count="12">
        <item x="5"/>
        <item x="1"/>
        <item x="8"/>
        <item x="4"/>
        <item x="2"/>
        <item x="3"/>
        <item x="9"/>
        <item x="0"/>
        <item x="7"/>
        <item x="6"/>
        <item x="10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5">
        <item x="2"/>
        <item x="1"/>
        <item x="0"/>
        <item h="1" x="3"/>
        <item t="default"/>
      </items>
    </pivotField>
    <pivotField compact="0" showAll="0">
      <items count="10">
        <item x="0"/>
        <item x="5"/>
        <item x="6"/>
        <item x="4"/>
        <item x="2"/>
        <item x="1"/>
        <item x="3"/>
        <item x="7"/>
        <item x="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multipleItemSelectionAllowed="1" showAll="0">
      <items count="4">
        <item x="0"/>
        <item x="1"/>
        <item x="2"/>
        <item t="default"/>
      </items>
    </pivotField>
    <pivotField compact="0" showAll="0">
      <items count="231">
        <item x="1"/>
        <item x="19"/>
        <item x="61"/>
        <item x="136"/>
        <item x="153"/>
        <item x="20"/>
        <item x="167"/>
        <item x="145"/>
        <item x="211"/>
        <item x="100"/>
        <item x="105"/>
        <item x="209"/>
        <item x="213"/>
        <item x="216"/>
        <item x="0"/>
        <item x="51"/>
        <item x="140"/>
        <item x="94"/>
        <item x="74"/>
        <item x="39"/>
        <item x="96"/>
        <item x="212"/>
        <item x="189"/>
        <item x="102"/>
        <item x="32"/>
        <item x="9"/>
        <item x="178"/>
        <item x="7"/>
        <item x="56"/>
        <item x="214"/>
        <item x="122"/>
        <item x="17"/>
        <item x="57"/>
        <item x="13"/>
        <item x="217"/>
        <item x="64"/>
        <item x="170"/>
        <item x="12"/>
        <item x="15"/>
        <item x="218"/>
        <item x="89"/>
        <item x="55"/>
        <item x="196"/>
        <item x="82"/>
        <item x="225"/>
        <item x="116"/>
        <item x="108"/>
        <item x="117"/>
        <item x="163"/>
        <item x="174"/>
        <item x="109"/>
        <item x="26"/>
        <item x="228"/>
        <item x="199"/>
        <item x="68"/>
        <item x="2"/>
        <item x="123"/>
        <item x="54"/>
        <item x="16"/>
        <item x="181"/>
        <item x="195"/>
        <item x="88"/>
        <item x="127"/>
        <item x="171"/>
        <item x="80"/>
        <item x="222"/>
        <item x="143"/>
        <item x="41"/>
        <item x="118"/>
        <item x="78"/>
        <item x="142"/>
        <item x="53"/>
        <item x="46"/>
        <item x="210"/>
        <item x="205"/>
        <item x="208"/>
        <item x="168"/>
        <item x="180"/>
        <item x="192"/>
        <item x="147"/>
        <item x="125"/>
        <item x="119"/>
        <item x="154"/>
        <item x="131"/>
        <item x="73"/>
        <item x="11"/>
        <item x="49"/>
        <item x="22"/>
        <item x="219"/>
        <item x="115"/>
        <item x="124"/>
        <item x="99"/>
        <item x="14"/>
        <item x="103"/>
        <item x="165"/>
        <item x="173"/>
        <item x="202"/>
        <item x="67"/>
        <item x="188"/>
        <item x="21"/>
        <item x="85"/>
        <item x="206"/>
        <item x="151"/>
        <item x="176"/>
        <item x="31"/>
        <item x="66"/>
        <item x="128"/>
        <item x="111"/>
        <item x="92"/>
        <item x="166"/>
        <item x="86"/>
        <item x="44"/>
        <item x="112"/>
        <item x="48"/>
        <item x="75"/>
        <item x="3"/>
        <item x="30"/>
        <item x="146"/>
        <item x="18"/>
        <item x="113"/>
        <item x="120"/>
        <item x="223"/>
        <item x="184"/>
        <item x="69"/>
        <item x="182"/>
        <item x="148"/>
        <item x="114"/>
        <item x="193"/>
        <item x="6"/>
        <item x="10"/>
        <item x="215"/>
        <item x="207"/>
        <item x="90"/>
        <item x="175"/>
        <item x="60"/>
        <item x="110"/>
        <item x="161"/>
        <item x="149"/>
        <item x="185"/>
        <item x="63"/>
        <item x="106"/>
        <item x="43"/>
        <item x="47"/>
        <item x="204"/>
        <item x="45"/>
        <item x="134"/>
        <item x="139"/>
        <item x="76"/>
        <item x="4"/>
        <item x="29"/>
        <item x="101"/>
        <item x="84"/>
        <item x="91"/>
        <item x="177"/>
        <item x="5"/>
        <item x="24"/>
        <item x="8"/>
        <item x="133"/>
        <item x="71"/>
        <item x="132"/>
        <item x="126"/>
        <item x="104"/>
        <item x="40"/>
        <item x="203"/>
        <item x="135"/>
        <item x="144"/>
        <item x="162"/>
        <item x="156"/>
        <item x="70"/>
        <item x="129"/>
        <item x="23"/>
        <item x="34"/>
        <item x="36"/>
        <item x="186"/>
        <item x="93"/>
        <item x="79"/>
        <item x="87"/>
        <item x="95"/>
        <item x="107"/>
        <item x="200"/>
        <item x="52"/>
        <item x="220"/>
        <item x="152"/>
        <item x="201"/>
        <item x="42"/>
        <item x="224"/>
        <item x="33"/>
        <item x="81"/>
        <item x="77"/>
        <item x="197"/>
        <item x="194"/>
        <item x="58"/>
        <item x="158"/>
        <item x="226"/>
        <item x="72"/>
        <item x="190"/>
        <item x="183"/>
        <item x="62"/>
        <item x="227"/>
        <item x="198"/>
        <item x="141"/>
        <item x="28"/>
        <item x="138"/>
        <item x="164"/>
        <item x="97"/>
        <item x="38"/>
        <item x="159"/>
        <item x="187"/>
        <item x="137"/>
        <item x="221"/>
        <item x="172"/>
        <item x="121"/>
        <item x="155"/>
        <item x="98"/>
        <item x="59"/>
        <item x="179"/>
        <item x="35"/>
        <item x="65"/>
        <item x="191"/>
        <item x="37"/>
        <item x="130"/>
        <item x="150"/>
        <item x="27"/>
        <item x="169"/>
        <item x="25"/>
        <item x="50"/>
        <item x="157"/>
        <item x="160"/>
        <item x="83"/>
        <item x="229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484">
        <item x="362"/>
        <item x="439"/>
        <item x="307"/>
        <item x="26"/>
        <item x="384"/>
        <item x="167"/>
        <item x="176"/>
        <item x="290"/>
        <item x="464"/>
        <item x="159"/>
        <item x="465"/>
        <item x="359"/>
        <item x="247"/>
        <item x="74"/>
        <item x="253"/>
        <item x="426"/>
        <item x="185"/>
        <item x="285"/>
        <item x="409"/>
        <item x="191"/>
        <item x="169"/>
        <item x="89"/>
        <item x="343"/>
        <item x="454"/>
        <item x="44"/>
        <item x="107"/>
        <item x="396"/>
        <item x="163"/>
        <item x="385"/>
        <item x="130"/>
        <item x="48"/>
        <item x="63"/>
        <item x="390"/>
        <item x="424"/>
        <item x="423"/>
        <item x="252"/>
        <item x="348"/>
        <item x="367"/>
        <item x="201"/>
        <item x="197"/>
        <item x="41"/>
        <item x="6"/>
        <item x="37"/>
        <item x="325"/>
        <item x="254"/>
        <item x="312"/>
        <item x="272"/>
        <item x="452"/>
        <item x="132"/>
        <item x="342"/>
        <item x="473"/>
        <item x="125"/>
        <item x="418"/>
        <item x="355"/>
        <item x="91"/>
        <item x="321"/>
        <item x="435"/>
        <item x="23"/>
        <item x="260"/>
        <item x="445"/>
        <item x="151"/>
        <item x="450"/>
        <item x="320"/>
        <item x="72"/>
        <item x="467"/>
        <item x="469"/>
        <item x="363"/>
        <item x="420"/>
        <item x="364"/>
        <item x="101"/>
        <item x="31"/>
        <item x="375"/>
        <item x="242"/>
        <item x="291"/>
        <item x="322"/>
        <item x="0"/>
        <item x="192"/>
        <item x="298"/>
        <item x="289"/>
        <item x="277"/>
        <item x="2"/>
        <item x="29"/>
        <item x="51"/>
        <item x="259"/>
        <item x="250"/>
        <item x="39"/>
        <item x="449"/>
        <item x="232"/>
        <item x="136"/>
        <item x="381"/>
        <item x="460"/>
        <item x="422"/>
        <item x="75"/>
        <item x="195"/>
        <item x="134"/>
        <item x="256"/>
        <item x="226"/>
        <item x="105"/>
        <item x="345"/>
        <item x="177"/>
        <item x="93"/>
        <item x="218"/>
        <item x="327"/>
        <item x="318"/>
        <item x="180"/>
        <item x="200"/>
        <item x="377"/>
        <item x="442"/>
        <item x="431"/>
        <item x="238"/>
        <item x="245"/>
        <item x="99"/>
        <item x="370"/>
        <item x="466"/>
        <item x="412"/>
        <item x="299"/>
        <item x="281"/>
        <item x="154"/>
        <item x="117"/>
        <item x="248"/>
        <item x="416"/>
        <item x="352"/>
        <item x="36"/>
        <item x="189"/>
        <item x="73"/>
        <item x="477"/>
        <item x="204"/>
        <item x="79"/>
        <item x="346"/>
        <item x="45"/>
        <item x="17"/>
        <item x="451"/>
        <item x="207"/>
        <item x="408"/>
        <item x="233"/>
        <item x="249"/>
        <item x="9"/>
        <item x="222"/>
        <item x="18"/>
        <item x="350"/>
        <item x="183"/>
        <item x="357"/>
        <item x="145"/>
        <item x="142"/>
        <item x="106"/>
        <item x="129"/>
        <item x="194"/>
        <item x="182"/>
        <item x="140"/>
        <item x="274"/>
        <item x="427"/>
        <item x="155"/>
        <item x="25"/>
        <item x="86"/>
        <item x="67"/>
        <item x="71"/>
        <item x="231"/>
        <item x="328"/>
        <item x="5"/>
        <item x="353"/>
        <item x="308"/>
        <item x="203"/>
        <item x="339"/>
        <item x="414"/>
        <item x="54"/>
        <item x="168"/>
        <item x="311"/>
        <item x="395"/>
        <item x="158"/>
        <item x="53"/>
        <item x="280"/>
        <item x="77"/>
        <item x="476"/>
        <item x="261"/>
        <item x="220"/>
        <item x="428"/>
        <item x="1"/>
        <item x="181"/>
        <item x="22"/>
        <item x="198"/>
        <item x="432"/>
        <item x="205"/>
        <item x="196"/>
        <item x="434"/>
        <item x="332"/>
        <item x="400"/>
        <item x="94"/>
        <item x="122"/>
        <item x="111"/>
        <item x="297"/>
        <item x="166"/>
        <item x="118"/>
        <item x="302"/>
        <item x="371"/>
        <item x="27"/>
        <item x="32"/>
        <item x="407"/>
        <item x="287"/>
        <item x="358"/>
        <item x="288"/>
        <item x="146"/>
        <item x="444"/>
        <item x="164"/>
        <item x="153"/>
        <item x="38"/>
        <item x="406"/>
        <item x="69"/>
        <item x="458"/>
        <item x="475"/>
        <item x="138"/>
        <item x="178"/>
        <item x="87"/>
        <item x="43"/>
        <item x="116"/>
        <item x="443"/>
        <item x="121"/>
        <item x="131"/>
        <item x="264"/>
        <item x="411"/>
        <item x="388"/>
        <item x="46"/>
        <item x="309"/>
        <item x="481"/>
        <item x="479"/>
        <item x="171"/>
        <item x="24"/>
        <item x="102"/>
        <item x="365"/>
        <item x="330"/>
        <item x="455"/>
        <item x="30"/>
        <item x="103"/>
        <item x="284"/>
        <item x="109"/>
        <item x="175"/>
        <item x="392"/>
        <item x="143"/>
        <item x="447"/>
        <item x="402"/>
        <item x="382"/>
        <item x="152"/>
        <item x="478"/>
        <item x="456"/>
        <item x="474"/>
        <item x="165"/>
        <item x="235"/>
        <item x="100"/>
        <item x="295"/>
        <item x="149"/>
        <item x="56"/>
        <item x="361"/>
        <item x="344"/>
        <item x="263"/>
        <item x="268"/>
        <item x="147"/>
        <item x="310"/>
        <item x="240"/>
        <item x="258"/>
        <item x="108"/>
        <item x="300"/>
        <item x="405"/>
        <item x="283"/>
        <item x="184"/>
        <item x="463"/>
        <item x="462"/>
        <item x="133"/>
        <item x="421"/>
        <item x="150"/>
        <item x="243"/>
        <item x="480"/>
        <item x="368"/>
        <item x="317"/>
        <item x="156"/>
        <item x="239"/>
        <item x="391"/>
        <item x="188"/>
        <item x="52"/>
        <item x="12"/>
        <item x="61"/>
        <item x="33"/>
        <item x="468"/>
        <item x="301"/>
        <item x="20"/>
        <item x="459"/>
        <item x="98"/>
        <item x="172"/>
        <item x="82"/>
        <item x="329"/>
        <item x="95"/>
        <item x="389"/>
        <item x="160"/>
        <item x="403"/>
        <item x="448"/>
        <item x="59"/>
        <item x="457"/>
        <item x="471"/>
        <item x="296"/>
        <item x="139"/>
        <item x="119"/>
        <item x="419"/>
        <item x="376"/>
        <item x="64"/>
        <item x="217"/>
        <item x="366"/>
        <item x="229"/>
        <item x="211"/>
        <item x="47"/>
        <item x="282"/>
        <item x="225"/>
        <item x="216"/>
        <item x="202"/>
        <item x="267"/>
        <item x="13"/>
        <item x="186"/>
        <item x="453"/>
        <item x="472"/>
        <item x="369"/>
        <item x="255"/>
        <item x="436"/>
        <item x="338"/>
        <item x="57"/>
        <item x="386"/>
        <item x="440"/>
        <item x="104"/>
        <item x="62"/>
        <item x="415"/>
        <item x="230"/>
        <item x="236"/>
        <item x="437"/>
        <item x="257"/>
        <item x="323"/>
        <item x="470"/>
        <item x="14"/>
        <item x="397"/>
        <item x="224"/>
        <item x="373"/>
        <item x="378"/>
        <item x="276"/>
        <item x="84"/>
        <item x="441"/>
        <item x="251"/>
        <item x="305"/>
        <item x="42"/>
        <item x="234"/>
        <item x="144"/>
        <item x="380"/>
        <item x="120"/>
        <item x="10"/>
        <item x="279"/>
        <item x="88"/>
        <item x="241"/>
        <item x="314"/>
        <item x="356"/>
        <item x="331"/>
        <item x="319"/>
        <item x="349"/>
        <item x="262"/>
        <item x="404"/>
        <item x="19"/>
        <item x="209"/>
        <item x="97"/>
        <item x="393"/>
        <item x="430"/>
        <item x="429"/>
        <item x="271"/>
        <item x="244"/>
        <item x="206"/>
        <item x="135"/>
        <item x="303"/>
        <item x="399"/>
        <item x="28"/>
        <item x="112"/>
        <item x="85"/>
        <item x="16"/>
        <item x="179"/>
        <item x="425"/>
        <item x="372"/>
        <item x="3"/>
        <item x="173"/>
        <item x="387"/>
        <item x="174"/>
        <item x="127"/>
        <item x="34"/>
        <item x="374"/>
        <item x="68"/>
        <item x="11"/>
        <item x="286"/>
        <item x="40"/>
        <item x="123"/>
        <item x="313"/>
        <item x="15"/>
        <item x="50"/>
        <item x="161"/>
        <item x="110"/>
        <item x="275"/>
        <item x="340"/>
        <item x="212"/>
        <item x="193"/>
        <item x="324"/>
        <item x="335"/>
        <item x="92"/>
        <item x="215"/>
        <item x="293"/>
        <item x="265"/>
        <item x="115"/>
        <item x="78"/>
        <item x="315"/>
        <item x="8"/>
        <item x="270"/>
        <item x="223"/>
        <item x="137"/>
        <item x="266"/>
        <item x="141"/>
        <item x="21"/>
        <item x="126"/>
        <item x="433"/>
        <item x="35"/>
        <item x="334"/>
        <item x="246"/>
        <item x="292"/>
        <item x="199"/>
        <item x="65"/>
        <item x="190"/>
        <item x="379"/>
        <item x="306"/>
        <item x="219"/>
        <item x="7"/>
        <item x="383"/>
        <item x="294"/>
        <item x="341"/>
        <item x="417"/>
        <item x="304"/>
        <item x="187"/>
        <item x="446"/>
        <item x="81"/>
        <item x="128"/>
        <item x="83"/>
        <item x="70"/>
        <item x="96"/>
        <item x="113"/>
        <item x="214"/>
        <item x="124"/>
        <item x="337"/>
        <item x="49"/>
        <item x="401"/>
        <item x="210"/>
        <item x="360"/>
        <item x="278"/>
        <item x="347"/>
        <item x="398"/>
        <item x="237"/>
        <item x="273"/>
        <item x="333"/>
        <item x="157"/>
        <item x="55"/>
        <item x="221"/>
        <item x="438"/>
        <item x="66"/>
        <item x="114"/>
        <item x="208"/>
        <item x="60"/>
        <item x="76"/>
        <item x="394"/>
        <item x="354"/>
        <item x="228"/>
        <item x="461"/>
        <item x="326"/>
        <item x="351"/>
        <item x="316"/>
        <item x="58"/>
        <item x="410"/>
        <item x="90"/>
        <item x="227"/>
        <item x="269"/>
        <item x="213"/>
        <item x="148"/>
        <item x="80"/>
        <item x="4"/>
        <item x="336"/>
        <item x="162"/>
        <item x="413"/>
        <item x="170"/>
        <item x="482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Case_No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H10:I13" firstHeaderRow="1" firstDataRow="1" firstDataCol="1"/>
  <pivotFields count="21">
    <pivotField compact="0" showAll="0">
      <items count="14">
        <item h="1" x="10"/>
        <item x="0"/>
        <item h="1" x="6"/>
        <item h="1" x="11"/>
        <item h="1" x="9"/>
        <item h="1" x="3"/>
        <item h="1" x="7"/>
        <item h="1" x="2"/>
        <item h="1" x="5"/>
        <item h="1" x="1"/>
        <item h="1" x="4"/>
        <item h="1" x="8"/>
        <item h="1" x="12"/>
        <item t="default"/>
      </items>
    </pivotField>
    <pivotField compact="0" showAll="0">
      <items count="500">
        <item x="398"/>
        <item x="272"/>
        <item x="345"/>
        <item x="344"/>
        <item x="74"/>
        <item x="206"/>
        <item x="300"/>
        <item x="289"/>
        <item x="338"/>
        <item x="386"/>
        <item x="39"/>
        <item x="320"/>
        <item x="329"/>
        <item x="286"/>
        <item x="162"/>
        <item x="467"/>
        <item x="343"/>
        <item x="369"/>
        <item x="399"/>
        <item x="316"/>
        <item x="61"/>
        <item x="310"/>
        <item x="73"/>
        <item x="198"/>
        <item x="347"/>
        <item x="83"/>
        <item x="384"/>
        <item x="45"/>
        <item x="395"/>
        <item x="41"/>
        <item x="357"/>
        <item x="118"/>
        <item x="17"/>
        <item x="396"/>
        <item x="158"/>
        <item x="177"/>
        <item x="379"/>
        <item x="252"/>
        <item x="227"/>
        <item x="194"/>
        <item x="325"/>
        <item x="407"/>
        <item x="80"/>
        <item x="448"/>
        <item x="199"/>
        <item x="173"/>
        <item x="474"/>
        <item x="290"/>
        <item x="87"/>
        <item x="388"/>
        <item x="79"/>
        <item x="15"/>
        <item x="317"/>
        <item x="82"/>
        <item x="307"/>
        <item x="0"/>
        <item x="37"/>
        <item x="225"/>
        <item x="277"/>
        <item x="443"/>
        <item x="223"/>
        <item x="362"/>
        <item x="283"/>
        <item x="282"/>
        <item x="372"/>
        <item x="258"/>
        <item x="442"/>
        <item x="204"/>
        <item x="169"/>
        <item x="445"/>
        <item x="103"/>
        <item x="322"/>
        <item x="181"/>
        <item x="220"/>
        <item x="119"/>
        <item x="268"/>
        <item x="333"/>
        <item x="27"/>
        <item x="421"/>
        <item x="21"/>
        <item x="251"/>
        <item x="472"/>
        <item x="435"/>
        <item x="458"/>
        <item x="35"/>
        <item x="381"/>
        <item x="32"/>
        <item x="346"/>
        <item x="249"/>
        <item x="434"/>
        <item x="122"/>
        <item x="31"/>
        <item x="202"/>
        <item x="184"/>
        <item x="203"/>
        <item x="405"/>
        <item x="43"/>
        <item x="260"/>
        <item x="160"/>
        <item x="63"/>
        <item x="134"/>
        <item x="409"/>
        <item x="22"/>
        <item x="385"/>
        <item x="42"/>
        <item x="490"/>
        <item x="337"/>
        <item x="371"/>
        <item x="152"/>
        <item x="163"/>
        <item x="234"/>
        <item x="461"/>
        <item x="400"/>
        <item x="473"/>
        <item x="66"/>
        <item x="125"/>
        <item x="136"/>
        <item x="218"/>
        <item x="9"/>
        <item x="65"/>
        <item x="353"/>
        <item x="92"/>
        <item x="331"/>
        <item x="356"/>
        <item x="330"/>
        <item x="486"/>
        <item x="7"/>
        <item x="422"/>
        <item x="67"/>
        <item x="116"/>
        <item x="195"/>
        <item x="416"/>
        <item x="430"/>
        <item x="117"/>
        <item x="8"/>
        <item x="243"/>
        <item x="387"/>
        <item x="278"/>
        <item x="4"/>
        <item x="447"/>
        <item x="72"/>
        <item x="313"/>
        <item x="33"/>
        <item x="354"/>
        <item x="159"/>
        <item x="340"/>
        <item x="295"/>
        <item x="137"/>
        <item x="468"/>
        <item x="425"/>
        <item x="301"/>
        <item x="449"/>
        <item x="25"/>
        <item x="248"/>
        <item x="247"/>
        <item x="298"/>
        <item x="485"/>
        <item x="465"/>
        <item x="53"/>
        <item x="24"/>
        <item x="94"/>
        <item x="106"/>
        <item x="131"/>
        <item x="145"/>
        <item x="237"/>
        <item x="126"/>
        <item x="488"/>
        <item x="476"/>
        <item x="20"/>
        <item x="495"/>
        <item x="264"/>
        <item x="245"/>
        <item x="129"/>
        <item x="127"/>
        <item x="406"/>
        <item x="75"/>
        <item x="269"/>
        <item x="410"/>
        <item x="133"/>
        <item x="257"/>
        <item x="113"/>
        <item x="308"/>
        <item x="51"/>
        <item x="454"/>
        <item x="439"/>
        <item x="84"/>
        <item x="186"/>
        <item x="459"/>
        <item x="404"/>
        <item x="457"/>
        <item x="71"/>
        <item x="123"/>
        <item x="426"/>
        <item x="469"/>
        <item x="231"/>
        <item x="276"/>
        <item x="451"/>
        <item x="46"/>
        <item x="294"/>
        <item x="491"/>
        <item x="120"/>
        <item x="132"/>
        <item x="255"/>
        <item x="299"/>
        <item x="432"/>
        <item x="188"/>
        <item x="420"/>
        <item x="368"/>
        <item x="380"/>
        <item x="332"/>
        <item x="5"/>
        <item x="291"/>
        <item x="36"/>
        <item x="370"/>
        <item x="297"/>
        <item x="413"/>
        <item x="402"/>
        <item x="146"/>
        <item x="436"/>
        <item x="111"/>
        <item x="209"/>
        <item x="471"/>
        <item x="441"/>
        <item x="18"/>
        <item x="208"/>
        <item x="470"/>
        <item x="121"/>
        <item x="284"/>
        <item x="267"/>
        <item x="143"/>
        <item x="228"/>
        <item x="150"/>
        <item x="217"/>
        <item x="62"/>
        <item x="166"/>
        <item x="55"/>
        <item x="374"/>
        <item x="128"/>
        <item x="437"/>
        <item x="394"/>
        <item x="497"/>
        <item x="107"/>
        <item x="302"/>
        <item x="48"/>
        <item x="216"/>
        <item x="200"/>
        <item x="390"/>
        <item x="211"/>
        <item x="178"/>
        <item x="77"/>
        <item x="494"/>
        <item x="492"/>
        <item x="6"/>
        <item x="246"/>
        <item x="155"/>
        <item x="147"/>
        <item x="105"/>
        <item x="60"/>
        <item x="428"/>
        <item x="375"/>
        <item x="38"/>
        <item x="424"/>
        <item x="414"/>
        <item x="288"/>
        <item x="306"/>
        <item x="480"/>
        <item x="377"/>
        <item x="489"/>
        <item x="261"/>
        <item x="154"/>
        <item x="254"/>
        <item x="205"/>
        <item x="477"/>
        <item x="69"/>
        <item x="419"/>
        <item x="207"/>
        <item x="475"/>
        <item x="34"/>
        <item x="427"/>
        <item x="96"/>
        <item x="176"/>
        <item x="482"/>
        <item x="285"/>
        <item x="463"/>
        <item x="478"/>
        <item x="197"/>
        <item x="47"/>
        <item x="412"/>
        <item x="187"/>
        <item x="19"/>
        <item x="164"/>
        <item x="30"/>
        <item x="219"/>
        <item x="464"/>
        <item x="124"/>
        <item x="349"/>
        <item x="453"/>
        <item x="393"/>
        <item x="266"/>
        <item x="171"/>
        <item x="450"/>
        <item x="201"/>
        <item x="100"/>
        <item x="397"/>
        <item x="484"/>
        <item x="174"/>
        <item x="324"/>
        <item x="493"/>
        <item x="98"/>
        <item x="378"/>
        <item x="157"/>
        <item x="242"/>
        <item x="455"/>
        <item x="172"/>
        <item x="417"/>
        <item x="281"/>
        <item x="115"/>
        <item x="99"/>
        <item x="68"/>
        <item x="481"/>
        <item x="431"/>
        <item x="323"/>
        <item x="270"/>
        <item x="1"/>
        <item x="483"/>
        <item x="151"/>
        <item x="341"/>
        <item x="229"/>
        <item x="321"/>
        <item x="318"/>
        <item x="358"/>
        <item x="140"/>
        <item x="235"/>
        <item x="210"/>
        <item x="49"/>
        <item x="326"/>
        <item x="312"/>
        <item x="135"/>
        <item x="287"/>
        <item x="114"/>
        <item x="86"/>
        <item x="438"/>
        <item x="165"/>
        <item x="373"/>
        <item x="365"/>
        <item x="429"/>
        <item x="479"/>
        <item x="40"/>
        <item x="403"/>
        <item x="389"/>
        <item x="273"/>
        <item x="226"/>
        <item x="196"/>
        <item x="292"/>
        <item x="180"/>
        <item x="175"/>
        <item x="212"/>
        <item x="230"/>
        <item x="259"/>
        <item x="236"/>
        <item x="383"/>
        <item x="161"/>
        <item x="56"/>
        <item x="130"/>
        <item x="256"/>
        <item x="304"/>
        <item x="238"/>
        <item x="102"/>
        <item x="376"/>
        <item x="11"/>
        <item x="392"/>
        <item x="241"/>
        <item x="213"/>
        <item x="156"/>
        <item x="408"/>
        <item x="144"/>
        <item x="363"/>
        <item x="233"/>
        <item x="335"/>
        <item x="314"/>
        <item x="101"/>
        <item x="97"/>
        <item x="265"/>
        <item x="305"/>
        <item x="189"/>
        <item x="415"/>
        <item x="112"/>
        <item x="452"/>
        <item x="224"/>
        <item x="487"/>
        <item x="58"/>
        <item x="138"/>
        <item x="191"/>
        <item x="244"/>
        <item x="215"/>
        <item x="90"/>
        <item x="185"/>
        <item x="359"/>
        <item x="351"/>
        <item x="95"/>
        <item x="50"/>
        <item x="153"/>
        <item x="336"/>
        <item x="382"/>
        <item x="13"/>
        <item x="240"/>
        <item x="366"/>
        <item x="348"/>
        <item x="23"/>
        <item x="293"/>
        <item x="104"/>
        <item x="52"/>
        <item x="44"/>
        <item x="81"/>
        <item x="110"/>
        <item x="315"/>
        <item x="88"/>
        <item x="367"/>
        <item x="460"/>
        <item x="12"/>
        <item x="89"/>
        <item x="222"/>
        <item x="364"/>
        <item x="274"/>
        <item x="149"/>
        <item x="355"/>
        <item x="279"/>
        <item x="59"/>
        <item x="142"/>
        <item x="334"/>
        <item x="109"/>
        <item x="167"/>
        <item x="328"/>
        <item x="3"/>
        <item x="418"/>
        <item x="57"/>
        <item x="280"/>
        <item x="311"/>
        <item x="16"/>
        <item x="401"/>
        <item x="64"/>
        <item x="78"/>
        <item x="327"/>
        <item x="239"/>
        <item x="91"/>
        <item x="342"/>
        <item x="339"/>
        <item x="440"/>
        <item x="28"/>
        <item x="141"/>
        <item x="303"/>
        <item x="168"/>
        <item x="214"/>
        <item x="466"/>
        <item x="29"/>
        <item x="232"/>
        <item x="26"/>
        <item x="85"/>
        <item x="76"/>
        <item x="361"/>
        <item x="221"/>
        <item x="192"/>
        <item x="179"/>
        <item x="253"/>
        <item x="263"/>
        <item x="433"/>
        <item x="423"/>
        <item x="193"/>
        <item x="446"/>
        <item x="70"/>
        <item x="139"/>
        <item x="262"/>
        <item x="462"/>
        <item x="275"/>
        <item x="170"/>
        <item x="183"/>
        <item x="14"/>
        <item x="182"/>
        <item x="148"/>
        <item x="250"/>
        <item x="496"/>
        <item x="2"/>
        <item x="352"/>
        <item x="108"/>
        <item x="360"/>
        <item x="296"/>
        <item x="456"/>
        <item x="444"/>
        <item x="93"/>
        <item x="411"/>
        <item x="350"/>
        <item x="391"/>
        <item x="54"/>
        <item x="271"/>
        <item x="10"/>
        <item x="190"/>
        <item x="309"/>
        <item x="319"/>
        <item x="498"/>
        <item t="default"/>
      </items>
    </pivotField>
    <pivotField compact="0" showAll="0">
      <items count="53">
        <item x="43"/>
        <item x="17"/>
        <item x="32"/>
        <item x="6"/>
        <item x="7"/>
        <item x="15"/>
        <item x="40"/>
        <item x="37"/>
        <item x="31"/>
        <item x="38"/>
        <item x="48"/>
        <item x="46"/>
        <item x="25"/>
        <item x="26"/>
        <item x="30"/>
        <item x="34"/>
        <item x="41"/>
        <item x="49"/>
        <item x="9"/>
        <item x="33"/>
        <item x="11"/>
        <item x="50"/>
        <item x="44"/>
        <item x="42"/>
        <item x="8"/>
        <item x="45"/>
        <item x="1"/>
        <item x="24"/>
        <item x="5"/>
        <item x="23"/>
        <item x="39"/>
        <item x="35"/>
        <item x="13"/>
        <item x="21"/>
        <item x="47"/>
        <item x="2"/>
        <item x="3"/>
        <item x="18"/>
        <item x="20"/>
        <item x="22"/>
        <item x="16"/>
        <item x="10"/>
        <item x="14"/>
        <item x="12"/>
        <item x="28"/>
        <item x="4"/>
        <item x="36"/>
        <item x="0"/>
        <item x="27"/>
        <item x="19"/>
        <item x="29"/>
        <item x="51"/>
        <item t="default"/>
      </items>
    </pivotField>
    <pivotField compact="0" showAll="0">
      <items count="16">
        <item x="11"/>
        <item x="13"/>
        <item x="2"/>
        <item x="3"/>
        <item x="8"/>
        <item x="1"/>
        <item x="10"/>
        <item x="12"/>
        <item x="6"/>
        <item x="0"/>
        <item x="7"/>
        <item x="9"/>
        <item x="4"/>
        <item x="5"/>
        <item x="1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2">
        <item x="0"/>
        <item x="4"/>
        <item x="5"/>
        <item x="8"/>
        <item x="2"/>
        <item x="7"/>
        <item x="3"/>
        <item x="6"/>
        <item x="9"/>
        <item x="1"/>
        <item x="10"/>
        <item t="default"/>
      </items>
    </pivotField>
    <pivotField compact="0" showAll="0">
      <items count="12">
        <item x="5"/>
        <item x="9"/>
        <item x="7"/>
        <item x="8"/>
        <item x="6"/>
        <item x="1"/>
        <item x="3"/>
        <item x="0"/>
        <item x="2"/>
        <item x="4"/>
        <item x="10"/>
        <item t="default"/>
      </items>
    </pivotField>
    <pivotField compact="0" showAll="0">
      <items count="5">
        <item x="0"/>
        <item h="1" x="1"/>
        <item h="1" x="2"/>
        <item h="1"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294">
        <item x="6"/>
        <item x="105"/>
        <item x="120"/>
        <item x="287"/>
        <item x="260"/>
        <item x="283"/>
        <item x="179"/>
        <item x="191"/>
        <item x="91"/>
        <item x="273"/>
        <item x="131"/>
        <item x="266"/>
        <item x="107"/>
        <item x="185"/>
        <item x="228"/>
        <item x="233"/>
        <item x="269"/>
        <item x="10"/>
        <item x="146"/>
        <item x="224"/>
        <item x="63"/>
        <item x="281"/>
        <item x="61"/>
        <item x="127"/>
        <item x="144"/>
        <item x="67"/>
        <item x="245"/>
        <item x="248"/>
        <item x="111"/>
        <item x="164"/>
        <item x="157"/>
        <item x="244"/>
        <item x="192"/>
        <item x="227"/>
        <item x="143"/>
        <item x="152"/>
        <item x="16"/>
        <item x="19"/>
        <item x="288"/>
        <item x="217"/>
        <item x="24"/>
        <item x="121"/>
        <item x="135"/>
        <item x="132"/>
        <item x="41"/>
        <item x="137"/>
        <item x="25"/>
        <item x="22"/>
        <item x="184"/>
        <item x="284"/>
        <item x="194"/>
        <item x="212"/>
        <item x="18"/>
        <item x="28"/>
        <item x="197"/>
        <item x="261"/>
        <item x="126"/>
        <item x="119"/>
        <item x="290"/>
        <item x="114"/>
        <item x="92"/>
        <item x="247"/>
        <item x="262"/>
        <item x="57"/>
        <item x="37"/>
        <item x="80"/>
        <item x="289"/>
        <item x="58"/>
        <item x="34"/>
        <item x="42"/>
        <item x="141"/>
        <item x="82"/>
        <item x="1"/>
        <item x="241"/>
        <item x="178"/>
        <item x="77"/>
        <item x="249"/>
        <item x="20"/>
        <item x="94"/>
        <item x="286"/>
        <item x="47"/>
        <item x="140"/>
        <item x="230"/>
        <item x="165"/>
        <item x="36"/>
        <item x="151"/>
        <item x="29"/>
        <item x="238"/>
        <item x="242"/>
        <item x="190"/>
        <item x="115"/>
        <item x="117"/>
        <item x="3"/>
        <item x="50"/>
        <item x="246"/>
        <item x="110"/>
        <item x="72"/>
        <item x="98"/>
        <item x="145"/>
        <item x="89"/>
        <item x="56"/>
        <item x="182"/>
        <item x="100"/>
        <item x="275"/>
        <item x="276"/>
        <item x="83"/>
        <item x="142"/>
        <item x="220"/>
        <item x="147"/>
        <item x="74"/>
        <item x="168"/>
        <item x="268"/>
        <item x="169"/>
        <item x="234"/>
        <item x="7"/>
        <item x="159"/>
        <item x="43"/>
        <item x="38"/>
        <item x="31"/>
        <item x="198"/>
        <item x="52"/>
        <item x="218"/>
        <item x="4"/>
        <item x="62"/>
        <item x="102"/>
        <item x="253"/>
        <item x="204"/>
        <item x="68"/>
        <item x="263"/>
        <item x="35"/>
        <item x="161"/>
        <item x="5"/>
        <item x="73"/>
        <item x="93"/>
        <item x="254"/>
        <item x="90"/>
        <item x="229"/>
        <item x="208"/>
        <item x="65"/>
        <item x="125"/>
        <item x="8"/>
        <item x="48"/>
        <item x="206"/>
        <item x="291"/>
        <item x="23"/>
        <item x="160"/>
        <item x="226"/>
        <item x="12"/>
        <item x="250"/>
        <item x="32"/>
        <item x="207"/>
        <item x="39"/>
        <item x="0"/>
        <item x="213"/>
        <item x="271"/>
        <item x="21"/>
        <item x="45"/>
        <item x="156"/>
        <item x="14"/>
        <item x="96"/>
        <item x="188"/>
        <item x="189"/>
        <item x="183"/>
        <item x="108"/>
        <item x="30"/>
        <item x="221"/>
        <item x="101"/>
        <item x="139"/>
        <item x="196"/>
        <item x="87"/>
        <item x="201"/>
        <item x="17"/>
        <item x="219"/>
        <item x="148"/>
        <item x="239"/>
        <item x="255"/>
        <item x="265"/>
        <item x="170"/>
        <item x="153"/>
        <item x="79"/>
        <item x="40"/>
        <item x="150"/>
        <item x="187"/>
        <item x="257"/>
        <item x="2"/>
        <item x="88"/>
        <item x="99"/>
        <item x="104"/>
        <item x="136"/>
        <item x="78"/>
        <item x="69"/>
        <item x="167"/>
        <item x="26"/>
        <item x="116"/>
        <item x="181"/>
        <item x="240"/>
        <item x="124"/>
        <item x="186"/>
        <item x="236"/>
        <item x="44"/>
        <item x="278"/>
        <item x="70"/>
        <item x="33"/>
        <item x="84"/>
        <item x="53"/>
        <item x="202"/>
        <item x="172"/>
        <item x="149"/>
        <item x="162"/>
        <item x="106"/>
        <item x="195"/>
        <item x="277"/>
        <item x="180"/>
        <item x="112"/>
        <item x="13"/>
        <item x="11"/>
        <item x="54"/>
        <item x="97"/>
        <item x="258"/>
        <item x="27"/>
        <item x="138"/>
        <item x="46"/>
        <item x="225"/>
        <item x="231"/>
        <item x="237"/>
        <item x="9"/>
        <item x="193"/>
        <item x="209"/>
        <item x="85"/>
        <item x="59"/>
        <item x="175"/>
        <item x="243"/>
        <item x="133"/>
        <item x="174"/>
        <item x="103"/>
        <item x="66"/>
        <item x="270"/>
        <item x="256"/>
        <item x="171"/>
        <item x="216"/>
        <item x="113"/>
        <item x="128"/>
        <item x="232"/>
        <item x="109"/>
        <item x="177"/>
        <item x="199"/>
        <item x="280"/>
        <item x="163"/>
        <item x="155"/>
        <item x="210"/>
        <item x="267"/>
        <item x="76"/>
        <item x="158"/>
        <item x="251"/>
        <item x="130"/>
        <item x="15"/>
        <item x="285"/>
        <item x="55"/>
        <item x="215"/>
        <item x="274"/>
        <item x="154"/>
        <item x="222"/>
        <item x="118"/>
        <item x="279"/>
        <item x="252"/>
        <item x="282"/>
        <item x="176"/>
        <item x="272"/>
        <item x="95"/>
        <item x="223"/>
        <item x="81"/>
        <item x="122"/>
        <item x="259"/>
        <item x="214"/>
        <item x="264"/>
        <item x="75"/>
        <item x="86"/>
        <item x="71"/>
        <item x="51"/>
        <item x="200"/>
        <item x="60"/>
        <item x="129"/>
        <item x="123"/>
        <item x="211"/>
        <item x="49"/>
        <item x="205"/>
        <item x="235"/>
        <item x="64"/>
        <item x="166"/>
        <item x="203"/>
        <item x="134"/>
        <item x="173"/>
        <item x="292"/>
        <item t="default"/>
      </items>
    </pivotField>
    <pivotField compact="0" showAll="0">
      <items count="12">
        <item x="8"/>
        <item x="0"/>
        <item x="6"/>
        <item x="5"/>
        <item x="7"/>
        <item x="2"/>
        <item x="4"/>
        <item x="3"/>
        <item x="1"/>
        <item x="9"/>
        <item x="10"/>
        <item t="default"/>
      </items>
    </pivotField>
    <pivotField compact="0" showAll="0">
      <items count="8">
        <item x="1"/>
        <item x="3"/>
        <item x="2"/>
        <item x="0"/>
        <item x="5"/>
        <item x="4"/>
        <item x="6"/>
        <item t="default"/>
      </items>
    </pivotField>
    <pivotField compact="0" showAll="0">
      <items count="12">
        <item x="5"/>
        <item x="1"/>
        <item x="8"/>
        <item x="4"/>
        <item x="2"/>
        <item x="3"/>
        <item x="9"/>
        <item x="0"/>
        <item x="7"/>
        <item x="6"/>
        <item x="10"/>
        <item t="default"/>
      </items>
    </pivotField>
    <pivotField axis="axisRow" compact="0" multipleItemSelectionAllowed="1" showAll="0">
      <items count="4">
        <item x="1"/>
        <item x="0"/>
        <item x="2"/>
        <item t="default"/>
      </items>
    </pivotField>
    <pivotField compact="0" showAll="0">
      <items count="5">
        <item x="2"/>
        <item x="1"/>
        <item x="0"/>
        <item h="1" x="3"/>
        <item t="default"/>
      </items>
    </pivotField>
    <pivotField compact="0" showAll="0">
      <items count="10">
        <item x="0"/>
        <item x="5"/>
        <item x="6"/>
        <item x="4"/>
        <item x="2"/>
        <item x="1"/>
        <item x="3"/>
        <item x="7"/>
        <item x="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31">
        <item x="1"/>
        <item x="19"/>
        <item x="61"/>
        <item x="136"/>
        <item x="153"/>
        <item x="20"/>
        <item x="167"/>
        <item x="145"/>
        <item x="211"/>
        <item x="100"/>
        <item x="105"/>
        <item x="209"/>
        <item x="213"/>
        <item x="216"/>
        <item x="0"/>
        <item x="51"/>
        <item x="140"/>
        <item x="94"/>
        <item x="74"/>
        <item x="39"/>
        <item x="96"/>
        <item x="212"/>
        <item x="189"/>
        <item x="102"/>
        <item x="32"/>
        <item x="9"/>
        <item x="178"/>
        <item x="7"/>
        <item x="56"/>
        <item x="214"/>
        <item x="122"/>
        <item x="17"/>
        <item x="57"/>
        <item x="13"/>
        <item x="217"/>
        <item x="64"/>
        <item x="170"/>
        <item x="12"/>
        <item x="15"/>
        <item x="218"/>
        <item x="89"/>
        <item x="55"/>
        <item x="196"/>
        <item x="82"/>
        <item x="225"/>
        <item x="116"/>
        <item x="108"/>
        <item x="117"/>
        <item x="163"/>
        <item x="174"/>
        <item x="109"/>
        <item x="26"/>
        <item x="228"/>
        <item x="199"/>
        <item x="68"/>
        <item x="2"/>
        <item x="123"/>
        <item x="54"/>
        <item x="16"/>
        <item x="181"/>
        <item x="195"/>
        <item x="88"/>
        <item x="127"/>
        <item x="171"/>
        <item x="80"/>
        <item x="222"/>
        <item x="143"/>
        <item x="41"/>
        <item x="118"/>
        <item x="78"/>
        <item x="142"/>
        <item x="53"/>
        <item x="46"/>
        <item x="210"/>
        <item x="205"/>
        <item x="208"/>
        <item x="168"/>
        <item x="180"/>
        <item x="192"/>
        <item x="147"/>
        <item x="125"/>
        <item x="119"/>
        <item x="154"/>
        <item x="131"/>
        <item x="73"/>
        <item x="11"/>
        <item x="49"/>
        <item x="22"/>
        <item x="219"/>
        <item x="115"/>
        <item x="124"/>
        <item x="99"/>
        <item x="14"/>
        <item x="103"/>
        <item x="165"/>
        <item x="173"/>
        <item x="202"/>
        <item x="67"/>
        <item x="188"/>
        <item x="21"/>
        <item x="85"/>
        <item x="206"/>
        <item x="151"/>
        <item x="176"/>
        <item x="31"/>
        <item x="66"/>
        <item x="128"/>
        <item x="111"/>
        <item x="92"/>
        <item x="166"/>
        <item x="86"/>
        <item x="44"/>
        <item x="112"/>
        <item x="48"/>
        <item x="75"/>
        <item x="3"/>
        <item x="30"/>
        <item x="146"/>
        <item x="18"/>
        <item x="113"/>
        <item x="120"/>
        <item x="223"/>
        <item x="184"/>
        <item x="69"/>
        <item x="182"/>
        <item x="148"/>
        <item x="114"/>
        <item x="193"/>
        <item x="6"/>
        <item x="10"/>
        <item x="215"/>
        <item x="207"/>
        <item x="90"/>
        <item x="175"/>
        <item x="60"/>
        <item x="110"/>
        <item x="161"/>
        <item x="149"/>
        <item x="185"/>
        <item x="63"/>
        <item x="106"/>
        <item x="43"/>
        <item x="47"/>
        <item x="204"/>
        <item x="45"/>
        <item x="134"/>
        <item x="139"/>
        <item x="76"/>
        <item x="4"/>
        <item x="29"/>
        <item x="101"/>
        <item x="84"/>
        <item x="91"/>
        <item x="177"/>
        <item x="5"/>
        <item x="24"/>
        <item x="8"/>
        <item x="133"/>
        <item x="71"/>
        <item x="132"/>
        <item x="126"/>
        <item x="104"/>
        <item x="40"/>
        <item x="203"/>
        <item x="135"/>
        <item x="144"/>
        <item x="162"/>
        <item x="156"/>
        <item x="70"/>
        <item x="129"/>
        <item x="23"/>
        <item x="34"/>
        <item x="36"/>
        <item x="186"/>
        <item x="93"/>
        <item x="79"/>
        <item x="87"/>
        <item x="95"/>
        <item x="107"/>
        <item x="200"/>
        <item x="52"/>
        <item x="220"/>
        <item x="152"/>
        <item x="201"/>
        <item x="42"/>
        <item x="224"/>
        <item x="33"/>
        <item x="81"/>
        <item x="77"/>
        <item x="197"/>
        <item x="194"/>
        <item x="58"/>
        <item x="158"/>
        <item x="226"/>
        <item x="72"/>
        <item x="190"/>
        <item x="183"/>
        <item x="62"/>
        <item x="227"/>
        <item x="198"/>
        <item x="141"/>
        <item x="28"/>
        <item x="138"/>
        <item x="164"/>
        <item x="97"/>
        <item x="38"/>
        <item x="159"/>
        <item x="187"/>
        <item x="137"/>
        <item x="221"/>
        <item x="172"/>
        <item x="121"/>
        <item x="155"/>
        <item x="98"/>
        <item x="59"/>
        <item x="179"/>
        <item x="35"/>
        <item x="65"/>
        <item x="191"/>
        <item x="37"/>
        <item x="130"/>
        <item x="150"/>
        <item x="27"/>
        <item x="169"/>
        <item x="25"/>
        <item x="50"/>
        <item x="157"/>
        <item x="160"/>
        <item x="83"/>
        <item x="229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dataField="1" compact="0" showAll="0">
      <items count="484">
        <item x="362"/>
        <item x="439"/>
        <item x="307"/>
        <item x="26"/>
        <item x="384"/>
        <item x="167"/>
        <item x="176"/>
        <item x="290"/>
        <item x="464"/>
        <item x="159"/>
        <item x="465"/>
        <item x="359"/>
        <item x="247"/>
        <item x="74"/>
        <item x="253"/>
        <item x="426"/>
        <item x="185"/>
        <item x="285"/>
        <item x="409"/>
        <item x="191"/>
        <item x="169"/>
        <item x="89"/>
        <item x="343"/>
        <item x="454"/>
        <item x="44"/>
        <item x="107"/>
        <item x="396"/>
        <item x="163"/>
        <item x="385"/>
        <item x="130"/>
        <item x="48"/>
        <item x="63"/>
        <item x="390"/>
        <item x="424"/>
        <item x="423"/>
        <item x="252"/>
        <item x="348"/>
        <item x="367"/>
        <item x="201"/>
        <item x="197"/>
        <item x="41"/>
        <item x="6"/>
        <item x="37"/>
        <item x="325"/>
        <item x="254"/>
        <item x="312"/>
        <item x="272"/>
        <item x="452"/>
        <item x="132"/>
        <item x="342"/>
        <item x="473"/>
        <item x="125"/>
        <item x="418"/>
        <item x="355"/>
        <item x="91"/>
        <item x="321"/>
        <item x="435"/>
        <item x="23"/>
        <item x="260"/>
        <item x="445"/>
        <item x="151"/>
        <item x="450"/>
        <item x="320"/>
        <item x="72"/>
        <item x="467"/>
        <item x="469"/>
        <item x="363"/>
        <item x="420"/>
        <item x="364"/>
        <item x="101"/>
        <item x="31"/>
        <item x="375"/>
        <item x="242"/>
        <item x="291"/>
        <item x="322"/>
        <item x="0"/>
        <item x="192"/>
        <item x="298"/>
        <item x="289"/>
        <item x="277"/>
        <item x="2"/>
        <item x="29"/>
        <item x="51"/>
        <item x="259"/>
        <item x="250"/>
        <item x="39"/>
        <item x="449"/>
        <item x="232"/>
        <item x="136"/>
        <item x="381"/>
        <item x="460"/>
        <item x="422"/>
        <item x="75"/>
        <item x="195"/>
        <item x="134"/>
        <item x="256"/>
        <item x="226"/>
        <item x="105"/>
        <item x="345"/>
        <item x="177"/>
        <item x="93"/>
        <item x="218"/>
        <item x="327"/>
        <item x="318"/>
        <item x="180"/>
        <item x="200"/>
        <item x="377"/>
        <item x="442"/>
        <item x="431"/>
        <item x="238"/>
        <item x="245"/>
        <item x="99"/>
        <item x="370"/>
        <item x="466"/>
        <item x="412"/>
        <item x="299"/>
        <item x="281"/>
        <item x="154"/>
        <item x="117"/>
        <item x="248"/>
        <item x="416"/>
        <item x="352"/>
        <item x="36"/>
        <item x="189"/>
        <item x="73"/>
        <item x="477"/>
        <item x="204"/>
        <item x="79"/>
        <item x="346"/>
        <item x="45"/>
        <item x="17"/>
        <item x="451"/>
        <item x="207"/>
        <item x="408"/>
        <item x="233"/>
        <item x="249"/>
        <item x="9"/>
        <item x="222"/>
        <item x="18"/>
        <item x="350"/>
        <item x="183"/>
        <item x="357"/>
        <item x="145"/>
        <item x="142"/>
        <item x="106"/>
        <item x="129"/>
        <item x="194"/>
        <item x="182"/>
        <item x="140"/>
        <item x="274"/>
        <item x="427"/>
        <item x="155"/>
        <item x="25"/>
        <item x="86"/>
        <item x="67"/>
        <item x="71"/>
        <item x="231"/>
        <item x="328"/>
        <item x="5"/>
        <item x="353"/>
        <item x="308"/>
        <item x="203"/>
        <item x="339"/>
        <item x="414"/>
        <item x="54"/>
        <item x="168"/>
        <item x="311"/>
        <item x="395"/>
        <item x="158"/>
        <item x="53"/>
        <item x="280"/>
        <item x="77"/>
        <item x="476"/>
        <item x="261"/>
        <item x="220"/>
        <item x="428"/>
        <item x="1"/>
        <item x="181"/>
        <item x="22"/>
        <item x="198"/>
        <item x="432"/>
        <item x="205"/>
        <item x="196"/>
        <item x="434"/>
        <item x="332"/>
        <item x="400"/>
        <item x="94"/>
        <item x="122"/>
        <item x="111"/>
        <item x="297"/>
        <item x="166"/>
        <item x="118"/>
        <item x="302"/>
        <item x="371"/>
        <item x="27"/>
        <item x="32"/>
        <item x="407"/>
        <item x="287"/>
        <item x="358"/>
        <item x="288"/>
        <item x="146"/>
        <item x="444"/>
        <item x="164"/>
        <item x="153"/>
        <item x="38"/>
        <item x="406"/>
        <item x="69"/>
        <item x="458"/>
        <item x="475"/>
        <item x="138"/>
        <item x="178"/>
        <item x="87"/>
        <item x="43"/>
        <item x="116"/>
        <item x="443"/>
        <item x="121"/>
        <item x="131"/>
        <item x="264"/>
        <item x="411"/>
        <item x="388"/>
        <item x="46"/>
        <item x="309"/>
        <item x="481"/>
        <item x="479"/>
        <item x="171"/>
        <item x="24"/>
        <item x="102"/>
        <item x="365"/>
        <item x="330"/>
        <item x="455"/>
        <item x="30"/>
        <item x="103"/>
        <item x="284"/>
        <item x="109"/>
        <item x="175"/>
        <item x="392"/>
        <item x="143"/>
        <item x="447"/>
        <item x="402"/>
        <item x="382"/>
        <item x="152"/>
        <item x="478"/>
        <item x="456"/>
        <item x="474"/>
        <item x="165"/>
        <item x="235"/>
        <item x="100"/>
        <item x="295"/>
        <item x="149"/>
        <item x="56"/>
        <item x="361"/>
        <item x="344"/>
        <item x="263"/>
        <item x="268"/>
        <item x="147"/>
        <item x="310"/>
        <item x="240"/>
        <item x="258"/>
        <item x="108"/>
        <item x="300"/>
        <item x="405"/>
        <item x="283"/>
        <item x="184"/>
        <item x="463"/>
        <item x="462"/>
        <item x="133"/>
        <item x="421"/>
        <item x="150"/>
        <item x="243"/>
        <item x="480"/>
        <item x="368"/>
        <item x="317"/>
        <item x="156"/>
        <item x="239"/>
        <item x="391"/>
        <item x="188"/>
        <item x="52"/>
        <item x="12"/>
        <item x="61"/>
        <item x="33"/>
        <item x="468"/>
        <item x="301"/>
        <item x="20"/>
        <item x="459"/>
        <item x="98"/>
        <item x="172"/>
        <item x="82"/>
        <item x="329"/>
        <item x="95"/>
        <item x="389"/>
        <item x="160"/>
        <item x="403"/>
        <item x="448"/>
        <item x="59"/>
        <item x="457"/>
        <item x="471"/>
        <item x="296"/>
        <item x="139"/>
        <item x="119"/>
        <item x="419"/>
        <item x="376"/>
        <item x="64"/>
        <item x="217"/>
        <item x="366"/>
        <item x="229"/>
        <item x="211"/>
        <item x="47"/>
        <item x="282"/>
        <item x="225"/>
        <item x="216"/>
        <item x="202"/>
        <item x="267"/>
        <item x="13"/>
        <item x="186"/>
        <item x="453"/>
        <item x="472"/>
        <item x="369"/>
        <item x="255"/>
        <item x="436"/>
        <item x="338"/>
        <item x="57"/>
        <item x="386"/>
        <item x="440"/>
        <item x="104"/>
        <item x="62"/>
        <item x="415"/>
        <item x="230"/>
        <item x="236"/>
        <item x="437"/>
        <item x="257"/>
        <item x="323"/>
        <item x="470"/>
        <item x="14"/>
        <item x="397"/>
        <item x="224"/>
        <item x="373"/>
        <item x="378"/>
        <item x="276"/>
        <item x="84"/>
        <item x="441"/>
        <item x="251"/>
        <item x="305"/>
        <item x="42"/>
        <item x="234"/>
        <item x="144"/>
        <item x="380"/>
        <item x="120"/>
        <item x="10"/>
        <item x="279"/>
        <item x="88"/>
        <item x="241"/>
        <item x="314"/>
        <item x="356"/>
        <item x="331"/>
        <item x="319"/>
        <item x="349"/>
        <item x="262"/>
        <item x="404"/>
        <item x="19"/>
        <item x="209"/>
        <item x="97"/>
        <item x="393"/>
        <item x="430"/>
        <item x="429"/>
        <item x="271"/>
        <item x="244"/>
        <item x="206"/>
        <item x="135"/>
        <item x="303"/>
        <item x="399"/>
        <item x="28"/>
        <item x="112"/>
        <item x="85"/>
        <item x="16"/>
        <item x="179"/>
        <item x="425"/>
        <item x="372"/>
        <item x="3"/>
        <item x="173"/>
        <item x="387"/>
        <item x="174"/>
        <item x="127"/>
        <item x="34"/>
        <item x="374"/>
        <item x="68"/>
        <item x="11"/>
        <item x="286"/>
        <item x="40"/>
        <item x="123"/>
        <item x="313"/>
        <item x="15"/>
        <item x="50"/>
        <item x="161"/>
        <item x="110"/>
        <item x="275"/>
        <item x="340"/>
        <item x="212"/>
        <item x="193"/>
        <item x="324"/>
        <item x="335"/>
        <item x="92"/>
        <item x="215"/>
        <item x="293"/>
        <item x="265"/>
        <item x="115"/>
        <item x="78"/>
        <item x="315"/>
        <item x="8"/>
        <item x="270"/>
        <item x="223"/>
        <item x="137"/>
        <item x="266"/>
        <item x="141"/>
        <item x="21"/>
        <item x="126"/>
        <item x="433"/>
        <item x="35"/>
        <item x="334"/>
        <item x="246"/>
        <item x="292"/>
        <item x="199"/>
        <item x="65"/>
        <item x="190"/>
        <item x="379"/>
        <item x="306"/>
        <item x="219"/>
        <item x="7"/>
        <item x="383"/>
        <item x="294"/>
        <item x="341"/>
        <item x="417"/>
        <item x="304"/>
        <item x="187"/>
        <item x="446"/>
        <item x="81"/>
        <item x="128"/>
        <item x="83"/>
        <item x="70"/>
        <item x="96"/>
        <item x="113"/>
        <item x="214"/>
        <item x="124"/>
        <item x="337"/>
        <item x="49"/>
        <item x="401"/>
        <item x="210"/>
        <item x="360"/>
        <item x="278"/>
        <item x="347"/>
        <item x="398"/>
        <item x="237"/>
        <item x="273"/>
        <item x="333"/>
        <item x="157"/>
        <item x="55"/>
        <item x="221"/>
        <item x="438"/>
        <item x="66"/>
        <item x="114"/>
        <item x="208"/>
        <item x="60"/>
        <item x="76"/>
        <item x="394"/>
        <item x="354"/>
        <item x="228"/>
        <item x="461"/>
        <item x="326"/>
        <item x="351"/>
        <item x="316"/>
        <item x="58"/>
        <item x="410"/>
        <item x="90"/>
        <item x="227"/>
        <item x="269"/>
        <item x="213"/>
        <item x="148"/>
        <item x="80"/>
        <item x="4"/>
        <item x="336"/>
        <item x="162"/>
        <item x="413"/>
        <item x="170"/>
        <item x="482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Revenue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octor_Type" sourceName="Doctor Type">
  <pivotTables>
    <pivotTable tabId="3" name="PivotTable6"/>
    <pivotTable tabId="3" name="PivotTable1"/>
    <pivotTable tabId="3" name="PivotTable2"/>
    <pivotTable tabId="3" name="PivotTable3"/>
    <pivotTable tabId="3" name="PivotTable4"/>
    <pivotTable tabId="3" name="PivotTable7"/>
  </pivotTables>
  <data>
    <tabular pivotCacheId="1">
      <items count="4">
        <i x="0" s="1"/>
        <i x="1" s="0"/>
        <i x="2" s="0"/>
        <i x="3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rgical_Mix" sourceName="Surgical Mix">
  <pivotTables>
    <pivotTable tabId="3" name="PivotTable2"/>
    <pivotTable tabId="3" name="PivotTable1"/>
    <pivotTable tabId="3" name="PivotTable3"/>
    <pivotTable tabId="3" name="PivotTable4"/>
    <pivotTable tabId="3" name="PivotTable6"/>
    <pivotTable tabId="3" name="PivotTable7"/>
  </pivotTables>
  <data>
    <tabular pivotCacheId="1">
      <items count="3">
        <i x="0" s="1"/>
        <i x="1" s="1"/>
        <i x="2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se_type" sourceName="Case type">
  <pivotTables>
    <pivotTable tabId="3" name="PivotTable2"/>
    <pivotTable tabId="3" name="PivotTable1"/>
    <pivotTable tabId="3" name="PivotTable3"/>
    <pivotTable tabId="3" name="PivotTable4"/>
    <pivotTable tabId="3" name="PivotTable6"/>
    <pivotTable tabId="3" name="PivotTable7"/>
  </pivotTables>
  <data>
    <tabular pivotCacheId="1">
      <items count="4">
        <i x="2" s="1"/>
        <i x="1" s="1"/>
        <i x="0" s="1"/>
        <i x="3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2"/>
    <pivotTable tabId="3" name="PivotTable1"/>
    <pivotTable tabId="3" name="PivotTable3"/>
    <pivotTable tabId="3" name="PivotTable4"/>
    <pivotTable tabId="3" name="PivotTable6"/>
    <pivotTable tabId="3" name="PivotTable7"/>
  </pivotTables>
  <data>
    <tabular pivotCacheId="1">
      <items count="3">
        <i x="0" s="1"/>
        <i x="1" s="1"/>
        <i x="2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25425"/>
  <slicer name="Case type" cache="Slicer_Case_type" caption="Case type" rowHeight="225425"/>
  <slicer name="Surgical Mix" cache="Slicer_Surgical_Mix" caption="Surgical Mix" rowHeight="225425"/>
  <slicer name="Doctor Type" cache="Slicer_Doctor_Type" caption="Doctor Type" rowHeight="225425"/>
</slicers>
</file>

<file path=xl/tables/table1.xml><?xml version="1.0" encoding="utf-8"?>
<table xmlns="http://schemas.openxmlformats.org/spreadsheetml/2006/main" id="1" name="Table1" displayName="Table1" ref="A1:U501" totalsRowShown="0">
  <autoFilter xmlns:etc="http://www.wps.cn/officeDocument/2017/etCustomData" ref="A1:U501" etc:filterBottomFollowUsedRange="0"/>
  <tableColumns count="21">
    <tableColumn id="1" name="Date" dataDxfId="0"/>
    <tableColumn id="2" name="Case_No" dataDxfId="1"/>
    <tableColumn id="3" name="DOB" dataDxfId="2"/>
    <tableColumn id="4" name="Nationality" dataDxfId="3"/>
    <tableColumn id="5" name="Gender" dataDxfId="4"/>
    <tableColumn id="6" name="DoctorLicense" dataDxfId="5"/>
    <tableColumn id="7" name="DoctorName" dataDxfId="6"/>
    <tableColumn id="8" name="Doctor Type" dataDxfId="7"/>
    <tableColumn id="9" name="Doctor Status" dataDxfId="8"/>
    <tableColumn id="10" name="CMI Value" dataDxfId="9"/>
    <tableColumn id="11" name="Specialty" dataDxfId="10"/>
    <tableColumn id="12" name="Insurance/Payer" dataDxfId="11"/>
    <tableColumn id="13" name="InsurancePlanName" dataDxfId="12"/>
    <tableColumn id="14" name="Payer Mix" dataDxfId="13"/>
    <tableColumn id="15" name="Case type" dataDxfId="14"/>
    <tableColumn id="16" name="LOS" dataDxfId="15"/>
    <tableColumn id="17" name="Severity" dataDxfId="16"/>
    <tableColumn id="18" name="Surgical Mix" dataDxfId="17"/>
    <tableColumn id="19" name="Discharge Time" dataDxfId="18"/>
    <tableColumn id="20" name="Discharge Before 12PM" dataDxfId="19"/>
    <tableColumn id="21" name="Revenue" dataDxfId="2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3"/>
  <sheetViews>
    <sheetView tabSelected="1" zoomScale="55" zoomScaleNormal="55" workbookViewId="0">
      <selection activeCell="E39" sqref="E39:F42"/>
    </sheetView>
  </sheetViews>
  <sheetFormatPr defaultColWidth="9.14285714285714" defaultRowHeight="15"/>
  <cols>
    <col min="1" max="1" width="12.1428571428571"/>
    <col min="2" max="3" width="18.1428571428571"/>
    <col min="4" max="4" width="12.1428571428571"/>
    <col min="5" max="5" width="14.5714285714286"/>
    <col min="6" max="6" width="18.1428571428571"/>
    <col min="7" max="7" width="12.1428571428571"/>
    <col min="8" max="8" width="12.4285714285714"/>
    <col min="9" max="9" width="16.7142857142857"/>
  </cols>
  <sheetData>
    <row r="3" spans="1:9">
      <c r="A3" t="s">
        <v>0</v>
      </c>
      <c r="B3" t="s">
        <v>1</v>
      </c>
      <c r="D3" t="s">
        <v>0</v>
      </c>
      <c r="E3" t="s">
        <v>2</v>
      </c>
      <c r="G3" t="s">
        <v>0</v>
      </c>
      <c r="H3" t="s">
        <v>3</v>
      </c>
    </row>
    <row r="4" spans="1:9">
      <c r="A4" t="s">
        <v>4</v>
      </c>
      <c r="B4">
        <v>2</v>
      </c>
      <c r="D4" t="s">
        <v>4</v>
      </c>
      <c r="E4">
        <v>12993</v>
      </c>
      <c r="G4" t="s">
        <v>4</v>
      </c>
      <c r="H4">
        <v>1</v>
      </c>
    </row>
    <row r="5" spans="1:9">
      <c r="A5" t="s">
        <v>5</v>
      </c>
      <c r="B5">
        <v>5</v>
      </c>
      <c r="D5" t="s">
        <v>5</v>
      </c>
      <c r="E5">
        <v>409030</v>
      </c>
      <c r="G5" t="s">
        <v>5</v>
      </c>
      <c r="H5">
        <v>4</v>
      </c>
    </row>
    <row r="6" spans="1:9">
      <c r="A6" t="s">
        <v>6</v>
      </c>
      <c r="B6">
        <v>14</v>
      </c>
      <c r="D6" t="s">
        <v>6</v>
      </c>
      <c r="E6">
        <v>18355</v>
      </c>
      <c r="G6" t="s">
        <v>6</v>
      </c>
      <c r="H6">
        <v>0</v>
      </c>
    </row>
    <row r="7" spans="1:9">
      <c r="A7" t="s">
        <v>7</v>
      </c>
      <c r="B7">
        <v>21</v>
      </c>
      <c r="D7" t="s">
        <v>7</v>
      </c>
      <c r="E7">
        <v>440378</v>
      </c>
      <c r="G7" t="s">
        <v>7</v>
      </c>
      <c r="H7">
        <v>1.04761904761905</v>
      </c>
    </row>
    <row r="10" spans="1:9">
      <c r="A10" t="s">
        <v>8</v>
      </c>
      <c r="B10" t="s">
        <v>2</v>
      </c>
      <c r="C10" t="s">
        <v>1</v>
      </c>
      <c r="E10" t="s">
        <v>9</v>
      </c>
      <c r="F10" t="s">
        <v>1</v>
      </c>
      <c r="H10" t="s">
        <v>10</v>
      </c>
      <c r="I10" t="s">
        <v>2</v>
      </c>
    </row>
    <row r="11" spans="1:9">
      <c r="A11" s="16">
        <v>45689</v>
      </c>
      <c r="B11">
        <v>440378</v>
      </c>
      <c r="C11">
        <v>21</v>
      </c>
      <c r="E11" t="s">
        <v>11</v>
      </c>
      <c r="F11">
        <v>12</v>
      </c>
      <c r="H11" t="s">
        <v>12</v>
      </c>
      <c r="I11">
        <v>125898</v>
      </c>
    </row>
    <row r="12" spans="1:9">
      <c r="A12" t="s">
        <v>7</v>
      </c>
      <c r="B12">
        <v>440378</v>
      </c>
      <c r="C12">
        <v>21</v>
      </c>
      <c r="E12" t="s">
        <v>13</v>
      </c>
      <c r="F12">
        <v>9</v>
      </c>
      <c r="H12" t="s">
        <v>14</v>
      </c>
      <c r="I12">
        <v>314480</v>
      </c>
    </row>
    <row r="13" spans="1:9">
      <c r="E13" t="s">
        <v>7</v>
      </c>
      <c r="F13">
        <v>21</v>
      </c>
      <c r="H13" t="s">
        <v>7</v>
      </c>
      <c r="I13">
        <v>440378</v>
      </c>
    </row>
  </sheetData>
  <pageMargins left="0.75" right="0.75" top="1" bottom="1" header="0.5" footer="0.5"/>
  <pageSetup paperSize="9" orientation="portrait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01"/>
  <sheetViews>
    <sheetView zoomScaleSheetLayoutView="60" workbookViewId="0">
      <selection activeCell="A1" sqref="A1:U501"/>
    </sheetView>
  </sheetViews>
  <sheetFormatPr defaultColWidth="10.2857142857143" defaultRowHeight="15"/>
  <cols>
    <col min="1" max="1" width="11.1428571428571" customWidth="1"/>
    <col min="2" max="2" width="10.5714285714286" customWidth="1"/>
    <col min="3" max="3" width="5.57142857142857" customWidth="1"/>
    <col min="4" max="4" width="12.8571428571429" customWidth="1"/>
    <col min="5" max="5" width="8.14285714285714" customWidth="1"/>
    <col min="6" max="6" width="14.4285714285714" customWidth="1"/>
    <col min="7" max="7" width="18.7142857142857" customWidth="1"/>
    <col min="8" max="8" width="12.4285714285714" customWidth="1"/>
    <col min="9" max="9" width="13.7142857142857" customWidth="1"/>
    <col min="10" max="10" width="10.5714285714286" customWidth="1"/>
    <col min="11" max="11" width="24.7142857142857" customWidth="1"/>
    <col min="12" max="12" width="22.4285714285714" customWidth="1"/>
    <col min="13" max="13" width="20.4285714285714" customWidth="1"/>
    <col min="14" max="14" width="10.4285714285714" customWidth="1"/>
    <col min="15" max="15" width="10.1428571428571" customWidth="1"/>
    <col min="16" max="16" width="4.85714285714286" customWidth="1"/>
    <col min="17" max="17" width="8.85714285714286" customWidth="1"/>
    <col min="18" max="18" width="12.4285714285714" customWidth="1"/>
    <col min="19" max="19" width="15.5714285714286" customWidth="1"/>
    <col min="20" max="20" width="23.2857142857143" customWidth="1"/>
    <col min="21" max="21" width="9.42857142857143" customWidth="1"/>
    <col min="26" max="26" width="12.8571428571429"/>
  </cols>
  <sheetData>
    <row r="1" spans="1:21">
      <c r="A1" s="12" t="s">
        <v>8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  <c r="N1" s="12" t="s">
        <v>10</v>
      </c>
      <c r="O1" s="12" t="s">
        <v>0</v>
      </c>
      <c r="P1" s="12" t="s">
        <v>27</v>
      </c>
      <c r="Q1" s="12" t="s">
        <v>28</v>
      </c>
      <c r="R1" s="12" t="s">
        <v>9</v>
      </c>
      <c r="S1" s="12" t="s">
        <v>29</v>
      </c>
      <c r="T1" s="12" t="s">
        <v>30</v>
      </c>
      <c r="U1" s="12" t="s">
        <v>31</v>
      </c>
    </row>
    <row r="2" spans="1:21">
      <c r="A2" s="13">
        <v>45689</v>
      </c>
      <c r="B2" s="12">
        <v>123517868</v>
      </c>
      <c r="C2" s="12">
        <v>2002</v>
      </c>
      <c r="D2" s="12" t="s">
        <v>32</v>
      </c>
      <c r="E2" s="12" t="s">
        <v>33</v>
      </c>
      <c r="F2" s="12" t="s">
        <v>34</v>
      </c>
      <c r="G2" s="12" t="s">
        <v>35</v>
      </c>
      <c r="H2" s="12" t="s">
        <v>36</v>
      </c>
      <c r="I2" s="12" t="s">
        <v>37</v>
      </c>
      <c r="J2" s="12">
        <v>1.048</v>
      </c>
      <c r="K2" s="12" t="s">
        <v>38</v>
      </c>
      <c r="L2" s="12" t="s">
        <v>39</v>
      </c>
      <c r="M2" s="12" t="s">
        <v>40</v>
      </c>
      <c r="N2" s="12" t="s">
        <v>14</v>
      </c>
      <c r="O2" s="12" t="s">
        <v>6</v>
      </c>
      <c r="P2" s="12">
        <v>0</v>
      </c>
      <c r="Q2" s="12">
        <v>1</v>
      </c>
      <c r="R2" s="12" t="s">
        <v>11</v>
      </c>
      <c r="S2" s="14">
        <v>0.291666666666667</v>
      </c>
      <c r="T2" s="12" t="s">
        <v>41</v>
      </c>
      <c r="U2" s="12">
        <v>548</v>
      </c>
    </row>
    <row r="3" spans="1:21">
      <c r="A3" s="13">
        <v>45931</v>
      </c>
      <c r="B3" s="12">
        <v>123810649</v>
      </c>
      <c r="C3" s="12">
        <v>1981</v>
      </c>
      <c r="D3" s="12" t="s">
        <v>42</v>
      </c>
      <c r="E3" s="12" t="s">
        <v>33</v>
      </c>
      <c r="F3" s="12" t="s">
        <v>43</v>
      </c>
      <c r="G3" s="12" t="s">
        <v>44</v>
      </c>
      <c r="H3" s="12" t="s">
        <v>36</v>
      </c>
      <c r="I3" s="12" t="s">
        <v>45</v>
      </c>
      <c r="J3" s="12">
        <v>0.942</v>
      </c>
      <c r="K3" s="12" t="s">
        <v>46</v>
      </c>
      <c r="L3" s="12" t="s">
        <v>39</v>
      </c>
      <c r="M3" s="12" t="s">
        <v>47</v>
      </c>
      <c r="N3" s="12" t="s">
        <v>14</v>
      </c>
      <c r="O3" s="12" t="s">
        <v>6</v>
      </c>
      <c r="P3" s="12">
        <v>0</v>
      </c>
      <c r="Q3" s="12">
        <v>2</v>
      </c>
      <c r="R3" s="12" t="s">
        <v>11</v>
      </c>
      <c r="S3" s="12" t="s">
        <v>48</v>
      </c>
      <c r="T3" s="12" t="s">
        <v>48</v>
      </c>
      <c r="U3" s="12">
        <v>1198</v>
      </c>
    </row>
    <row r="4" spans="1:21">
      <c r="A4" s="13">
        <v>45870</v>
      </c>
      <c r="B4" s="12">
        <v>123979661</v>
      </c>
      <c r="C4" s="12">
        <v>1990</v>
      </c>
      <c r="D4" s="12" t="s">
        <v>49</v>
      </c>
      <c r="E4" s="12" t="s">
        <v>50</v>
      </c>
      <c r="F4" s="12" t="s">
        <v>51</v>
      </c>
      <c r="G4" s="12" t="s">
        <v>52</v>
      </c>
      <c r="H4" s="12" t="s">
        <v>53</v>
      </c>
      <c r="I4" s="12" t="s">
        <v>45</v>
      </c>
      <c r="J4" s="12">
        <v>1.089</v>
      </c>
      <c r="K4" s="12" t="s">
        <v>54</v>
      </c>
      <c r="L4" s="12" t="s">
        <v>39</v>
      </c>
      <c r="M4" s="12" t="s">
        <v>40</v>
      </c>
      <c r="N4" s="12" t="s">
        <v>14</v>
      </c>
      <c r="O4" s="12" t="s">
        <v>6</v>
      </c>
      <c r="P4" s="12">
        <v>0</v>
      </c>
      <c r="Q4" s="12">
        <v>1</v>
      </c>
      <c r="R4" s="12" t="s">
        <v>11</v>
      </c>
      <c r="S4" s="12" t="s">
        <v>48</v>
      </c>
      <c r="T4" s="12" t="s">
        <v>48</v>
      </c>
      <c r="U4" s="12">
        <v>586</v>
      </c>
    </row>
    <row r="5" spans="1:21">
      <c r="A5" s="13">
        <v>45809</v>
      </c>
      <c r="B5" s="12">
        <v>123927914</v>
      </c>
      <c r="C5" s="12">
        <v>1991</v>
      </c>
      <c r="D5" s="12" t="s">
        <v>55</v>
      </c>
      <c r="E5" s="12" t="s">
        <v>50</v>
      </c>
      <c r="F5" s="12" t="s">
        <v>56</v>
      </c>
      <c r="G5" s="12" t="s">
        <v>57</v>
      </c>
      <c r="H5" s="12" t="s">
        <v>58</v>
      </c>
      <c r="I5" s="12" t="s">
        <v>45</v>
      </c>
      <c r="J5" s="12">
        <v>0.97</v>
      </c>
      <c r="K5" s="12" t="s">
        <v>59</v>
      </c>
      <c r="L5" s="12" t="s">
        <v>60</v>
      </c>
      <c r="M5" s="12" t="s">
        <v>48</v>
      </c>
      <c r="N5" s="12" t="s">
        <v>12</v>
      </c>
      <c r="O5" s="12" t="s">
        <v>5</v>
      </c>
      <c r="P5" s="12">
        <v>5</v>
      </c>
      <c r="Q5" s="12">
        <v>1</v>
      </c>
      <c r="R5" s="12" t="s">
        <v>11</v>
      </c>
      <c r="S5" s="14">
        <v>0.384027777777778</v>
      </c>
      <c r="T5" s="12" t="s">
        <v>41</v>
      </c>
      <c r="U5" s="12">
        <v>28717</v>
      </c>
    </row>
    <row r="6" spans="1:21">
      <c r="A6" s="13">
        <v>45809</v>
      </c>
      <c r="B6" s="12">
        <v>123605097</v>
      </c>
      <c r="C6" s="12">
        <v>2000</v>
      </c>
      <c r="D6" s="12" t="s">
        <v>61</v>
      </c>
      <c r="E6" s="12" t="s">
        <v>33</v>
      </c>
      <c r="F6" s="12" t="s">
        <v>62</v>
      </c>
      <c r="G6" s="12" t="s">
        <v>63</v>
      </c>
      <c r="H6" s="12" t="s">
        <v>58</v>
      </c>
      <c r="I6" s="12" t="s">
        <v>45</v>
      </c>
      <c r="J6" s="12">
        <v>1.006</v>
      </c>
      <c r="K6" s="12" t="s">
        <v>64</v>
      </c>
      <c r="L6" s="12" t="s">
        <v>65</v>
      </c>
      <c r="M6" s="12" t="s">
        <v>66</v>
      </c>
      <c r="N6" s="12" t="s">
        <v>14</v>
      </c>
      <c r="O6" s="12" t="s">
        <v>5</v>
      </c>
      <c r="P6" s="12">
        <v>4</v>
      </c>
      <c r="Q6" s="12">
        <v>3</v>
      </c>
      <c r="R6" s="12" t="s">
        <v>11</v>
      </c>
      <c r="S6" s="14">
        <v>0.56875</v>
      </c>
      <c r="T6" s="12" t="s">
        <v>67</v>
      </c>
      <c r="U6" s="12">
        <v>117129</v>
      </c>
    </row>
    <row r="7" spans="1:21">
      <c r="A7" s="13">
        <v>45962</v>
      </c>
      <c r="B7" s="12">
        <v>123702919</v>
      </c>
      <c r="C7" s="12">
        <v>1983</v>
      </c>
      <c r="D7" s="12" t="s">
        <v>32</v>
      </c>
      <c r="E7" s="12" t="s">
        <v>50</v>
      </c>
      <c r="F7" s="12" t="s">
        <v>34</v>
      </c>
      <c r="G7" s="12" t="s">
        <v>35</v>
      </c>
      <c r="H7" s="12" t="s">
        <v>36</v>
      </c>
      <c r="I7" s="12" t="s">
        <v>45</v>
      </c>
      <c r="J7" s="12">
        <v>1.017</v>
      </c>
      <c r="K7" s="12" t="s">
        <v>38</v>
      </c>
      <c r="L7" s="12" t="s">
        <v>39</v>
      </c>
      <c r="M7" s="12" t="s">
        <v>47</v>
      </c>
      <c r="N7" s="12" t="s">
        <v>14</v>
      </c>
      <c r="O7" s="12" t="s">
        <v>6</v>
      </c>
      <c r="P7" s="12">
        <v>0</v>
      </c>
      <c r="Q7" s="12">
        <v>3</v>
      </c>
      <c r="R7" s="12" t="s">
        <v>11</v>
      </c>
      <c r="S7" s="12" t="s">
        <v>48</v>
      </c>
      <c r="T7" s="12" t="s">
        <v>48</v>
      </c>
      <c r="U7" s="12">
        <v>1076</v>
      </c>
    </row>
    <row r="8" spans="1:21">
      <c r="A8" s="13">
        <v>45689</v>
      </c>
      <c r="B8" s="12">
        <v>123744872</v>
      </c>
      <c r="C8" s="12">
        <v>1991</v>
      </c>
      <c r="D8" s="12" t="s">
        <v>68</v>
      </c>
      <c r="E8" s="12" t="s">
        <v>33</v>
      </c>
      <c r="F8" s="12" t="s">
        <v>51</v>
      </c>
      <c r="G8" s="12" t="s">
        <v>52</v>
      </c>
      <c r="H8" s="12" t="s">
        <v>53</v>
      </c>
      <c r="I8" s="12" t="s">
        <v>45</v>
      </c>
      <c r="J8" s="12">
        <v>0.71</v>
      </c>
      <c r="K8" s="12" t="s">
        <v>54</v>
      </c>
      <c r="L8" s="12" t="s">
        <v>65</v>
      </c>
      <c r="M8" s="12" t="s">
        <v>66</v>
      </c>
      <c r="N8" s="12" t="s">
        <v>14</v>
      </c>
      <c r="O8" s="12" t="s">
        <v>6</v>
      </c>
      <c r="P8" s="12">
        <v>0</v>
      </c>
      <c r="Q8" s="12">
        <v>1</v>
      </c>
      <c r="R8" s="12" t="s">
        <v>11</v>
      </c>
      <c r="S8" s="12" t="s">
        <v>48</v>
      </c>
      <c r="T8" s="12" t="s">
        <v>48</v>
      </c>
      <c r="U8" s="12">
        <v>353</v>
      </c>
    </row>
    <row r="9" spans="1:21">
      <c r="A9" s="13">
        <v>45901</v>
      </c>
      <c r="B9" s="12">
        <v>123590824</v>
      </c>
      <c r="C9" s="12">
        <v>1983</v>
      </c>
      <c r="D9" s="12" t="s">
        <v>61</v>
      </c>
      <c r="E9" s="12" t="s">
        <v>50</v>
      </c>
      <c r="F9" s="12" t="s">
        <v>69</v>
      </c>
      <c r="G9" s="12" t="s">
        <v>70</v>
      </c>
      <c r="H9" s="12" t="s">
        <v>58</v>
      </c>
      <c r="I9" s="12" t="s">
        <v>45</v>
      </c>
      <c r="J9" s="12">
        <v>0.998</v>
      </c>
      <c r="K9" s="12" t="s">
        <v>71</v>
      </c>
      <c r="L9" s="12" t="s">
        <v>72</v>
      </c>
      <c r="M9" s="12" t="s">
        <v>73</v>
      </c>
      <c r="N9" s="12" t="s">
        <v>14</v>
      </c>
      <c r="O9" s="12" t="s">
        <v>5</v>
      </c>
      <c r="P9" s="12">
        <v>6</v>
      </c>
      <c r="Q9" s="12">
        <v>1</v>
      </c>
      <c r="R9" s="12" t="s">
        <v>11</v>
      </c>
      <c r="S9" s="14">
        <v>0.681944444444444</v>
      </c>
      <c r="T9" s="12" t="s">
        <v>67</v>
      </c>
      <c r="U9" s="12">
        <v>66031</v>
      </c>
    </row>
    <row r="10" spans="1:21">
      <c r="A10" s="13">
        <v>45717</v>
      </c>
      <c r="B10" s="12">
        <v>123602168</v>
      </c>
      <c r="C10" s="12">
        <v>2000</v>
      </c>
      <c r="D10" s="12" t="s">
        <v>74</v>
      </c>
      <c r="E10" s="12" t="s">
        <v>50</v>
      </c>
      <c r="F10" s="12" t="s">
        <v>75</v>
      </c>
      <c r="G10" s="12" t="s">
        <v>76</v>
      </c>
      <c r="H10" s="12" t="s">
        <v>53</v>
      </c>
      <c r="I10" s="12" t="s">
        <v>45</v>
      </c>
      <c r="J10" s="12">
        <v>1.033</v>
      </c>
      <c r="K10" s="12" t="s">
        <v>77</v>
      </c>
      <c r="L10" s="12" t="s">
        <v>39</v>
      </c>
      <c r="M10" s="12" t="s">
        <v>78</v>
      </c>
      <c r="N10" s="12" t="s">
        <v>14</v>
      </c>
      <c r="O10" s="12" t="s">
        <v>5</v>
      </c>
      <c r="P10" s="12">
        <v>3</v>
      </c>
      <c r="Q10" s="12">
        <v>2</v>
      </c>
      <c r="R10" s="12" t="s">
        <v>11</v>
      </c>
      <c r="S10" s="14">
        <v>0.697916666666667</v>
      </c>
      <c r="T10" s="12" t="s">
        <v>67</v>
      </c>
      <c r="U10" s="12">
        <v>49607</v>
      </c>
    </row>
    <row r="11" spans="1:21">
      <c r="A11" s="13">
        <v>45689</v>
      </c>
      <c r="B11" s="12">
        <v>123584744</v>
      </c>
      <c r="C11" s="12">
        <v>1958</v>
      </c>
      <c r="D11" s="12" t="s">
        <v>79</v>
      </c>
      <c r="E11" s="12" t="s">
        <v>33</v>
      </c>
      <c r="F11" s="12" t="s">
        <v>43</v>
      </c>
      <c r="G11" s="12" t="s">
        <v>44</v>
      </c>
      <c r="H11" s="12" t="s">
        <v>36</v>
      </c>
      <c r="I11" s="12" t="s">
        <v>45</v>
      </c>
      <c r="J11" s="12">
        <v>1.142</v>
      </c>
      <c r="K11" s="12" t="s">
        <v>46</v>
      </c>
      <c r="L11" s="12" t="s">
        <v>72</v>
      </c>
      <c r="M11" s="12" t="s">
        <v>73</v>
      </c>
      <c r="N11" s="12" t="s">
        <v>14</v>
      </c>
      <c r="O11" s="12" t="s">
        <v>6</v>
      </c>
      <c r="P11" s="12">
        <v>0</v>
      </c>
      <c r="Q11" s="12">
        <v>3</v>
      </c>
      <c r="R11" s="12" t="s">
        <v>11</v>
      </c>
      <c r="S11" s="14">
        <v>0.625</v>
      </c>
      <c r="T11" s="12" t="s">
        <v>67</v>
      </c>
      <c r="U11" s="12">
        <v>950</v>
      </c>
    </row>
    <row r="12" spans="1:21">
      <c r="A12" s="13">
        <v>45839</v>
      </c>
      <c r="B12" s="12">
        <v>123997051</v>
      </c>
      <c r="C12" s="12">
        <v>1959</v>
      </c>
      <c r="D12" s="12" t="s">
        <v>61</v>
      </c>
      <c r="E12" s="12" t="s">
        <v>50</v>
      </c>
      <c r="F12" s="12" t="s">
        <v>80</v>
      </c>
      <c r="G12" s="12" t="s">
        <v>81</v>
      </c>
      <c r="H12" s="12" t="s">
        <v>36</v>
      </c>
      <c r="I12" s="12" t="s">
        <v>45</v>
      </c>
      <c r="J12" s="12">
        <v>0.851</v>
      </c>
      <c r="K12" s="12" t="s">
        <v>82</v>
      </c>
      <c r="L12" s="12" t="s">
        <v>39</v>
      </c>
      <c r="M12" s="12" t="s">
        <v>47</v>
      </c>
      <c r="N12" s="12" t="s">
        <v>14</v>
      </c>
      <c r="O12" s="12" t="s">
        <v>4</v>
      </c>
      <c r="P12" s="12">
        <v>1</v>
      </c>
      <c r="Q12" s="12">
        <v>3</v>
      </c>
      <c r="R12" s="12" t="s">
        <v>11</v>
      </c>
      <c r="S12" s="12" t="s">
        <v>48</v>
      </c>
      <c r="T12" s="12" t="s">
        <v>48</v>
      </c>
      <c r="U12" s="12">
        <v>9381</v>
      </c>
    </row>
    <row r="13" spans="1:21">
      <c r="A13" s="13">
        <v>45992</v>
      </c>
      <c r="B13" s="12">
        <v>123861831</v>
      </c>
      <c r="C13" s="12">
        <v>1990</v>
      </c>
      <c r="D13" s="12" t="s">
        <v>83</v>
      </c>
      <c r="E13" s="12" t="s">
        <v>50</v>
      </c>
      <c r="F13" s="12" t="s">
        <v>80</v>
      </c>
      <c r="G13" s="12" t="s">
        <v>81</v>
      </c>
      <c r="H13" s="12" t="s">
        <v>36</v>
      </c>
      <c r="I13" s="12" t="s">
        <v>37</v>
      </c>
      <c r="J13" s="12">
        <v>1.126</v>
      </c>
      <c r="K13" s="12" t="s">
        <v>82</v>
      </c>
      <c r="L13" s="12" t="s">
        <v>39</v>
      </c>
      <c r="M13" s="12" t="s">
        <v>47</v>
      </c>
      <c r="N13" s="12" t="s">
        <v>14</v>
      </c>
      <c r="O13" s="12" t="s">
        <v>5</v>
      </c>
      <c r="P13" s="12">
        <v>4</v>
      </c>
      <c r="Q13" s="12">
        <v>1</v>
      </c>
      <c r="R13" s="12" t="s">
        <v>11</v>
      </c>
      <c r="S13" s="14">
        <v>0.317361111111111</v>
      </c>
      <c r="T13" s="12" t="s">
        <v>41</v>
      </c>
      <c r="U13" s="12">
        <v>33016</v>
      </c>
    </row>
    <row r="14" spans="1:21">
      <c r="A14" s="13">
        <v>45901</v>
      </c>
      <c r="B14" s="12">
        <v>123913425</v>
      </c>
      <c r="C14" s="12">
        <v>1979</v>
      </c>
      <c r="D14" s="12" t="s">
        <v>61</v>
      </c>
      <c r="E14" s="12" t="s">
        <v>33</v>
      </c>
      <c r="F14" s="12" t="s">
        <v>34</v>
      </c>
      <c r="G14" s="12" t="s">
        <v>35</v>
      </c>
      <c r="H14" s="12" t="s">
        <v>36</v>
      </c>
      <c r="I14" s="12" t="s">
        <v>45</v>
      </c>
      <c r="J14" s="12">
        <v>1.042</v>
      </c>
      <c r="K14" s="12" t="s">
        <v>38</v>
      </c>
      <c r="L14" s="12" t="s">
        <v>84</v>
      </c>
      <c r="M14" s="12" t="s">
        <v>85</v>
      </c>
      <c r="N14" s="12" t="s">
        <v>14</v>
      </c>
      <c r="O14" s="12" t="s">
        <v>4</v>
      </c>
      <c r="P14" s="12">
        <v>1</v>
      </c>
      <c r="Q14" s="12">
        <v>1</v>
      </c>
      <c r="R14" s="12" t="s">
        <v>11</v>
      </c>
      <c r="S14" s="14">
        <v>0.703472222222222</v>
      </c>
      <c r="T14" s="12" t="s">
        <v>67</v>
      </c>
      <c r="U14" s="12">
        <v>2145</v>
      </c>
    </row>
    <row r="15" spans="1:21">
      <c r="A15" s="13">
        <v>45931</v>
      </c>
      <c r="B15" s="12">
        <v>123900212</v>
      </c>
      <c r="C15" s="12">
        <v>1973</v>
      </c>
      <c r="D15" s="12" t="s">
        <v>42</v>
      </c>
      <c r="E15" s="12" t="s">
        <v>33</v>
      </c>
      <c r="F15" s="12" t="s">
        <v>34</v>
      </c>
      <c r="G15" s="12" t="s">
        <v>35</v>
      </c>
      <c r="H15" s="12" t="s">
        <v>36</v>
      </c>
      <c r="I15" s="12" t="s">
        <v>45</v>
      </c>
      <c r="J15" s="12">
        <v>1.125</v>
      </c>
      <c r="K15" s="12" t="s">
        <v>38</v>
      </c>
      <c r="L15" s="12" t="s">
        <v>39</v>
      </c>
      <c r="M15" s="12" t="s">
        <v>47</v>
      </c>
      <c r="N15" s="12" t="s">
        <v>14</v>
      </c>
      <c r="O15" s="12" t="s">
        <v>4</v>
      </c>
      <c r="P15" s="12">
        <v>1</v>
      </c>
      <c r="Q15" s="12">
        <v>2</v>
      </c>
      <c r="R15" s="12" t="s">
        <v>11</v>
      </c>
      <c r="S15" s="14">
        <v>0.313194444444444</v>
      </c>
      <c r="T15" s="12" t="s">
        <v>41</v>
      </c>
      <c r="U15" s="12">
        <v>4630</v>
      </c>
    </row>
    <row r="16" spans="1:21">
      <c r="A16" s="13">
        <v>45901</v>
      </c>
      <c r="B16" s="12">
        <v>123977773</v>
      </c>
      <c r="C16" s="12">
        <v>1996</v>
      </c>
      <c r="D16" s="12" t="s">
        <v>42</v>
      </c>
      <c r="E16" s="12" t="s">
        <v>33</v>
      </c>
      <c r="F16" s="12" t="s">
        <v>86</v>
      </c>
      <c r="G16" s="12" t="s">
        <v>87</v>
      </c>
      <c r="H16" s="12" t="s">
        <v>58</v>
      </c>
      <c r="I16" s="12" t="s">
        <v>45</v>
      </c>
      <c r="J16" s="12">
        <v>1.055</v>
      </c>
      <c r="K16" s="12" t="s">
        <v>88</v>
      </c>
      <c r="L16" s="12" t="s">
        <v>60</v>
      </c>
      <c r="M16" s="12" t="s">
        <v>48</v>
      </c>
      <c r="N16" s="12" t="s">
        <v>12</v>
      </c>
      <c r="O16" s="12" t="s">
        <v>4</v>
      </c>
      <c r="P16" s="12">
        <v>1</v>
      </c>
      <c r="Q16" s="12">
        <v>3</v>
      </c>
      <c r="R16" s="12" t="s">
        <v>11</v>
      </c>
      <c r="S16" s="12" t="s">
        <v>48</v>
      </c>
      <c r="T16" s="12" t="s">
        <v>48</v>
      </c>
      <c r="U16" s="12">
        <v>7113</v>
      </c>
    </row>
    <row r="17" spans="1:21">
      <c r="A17" s="13">
        <v>45931</v>
      </c>
      <c r="B17" s="12">
        <v>123513271</v>
      </c>
      <c r="C17" s="12">
        <v>1975</v>
      </c>
      <c r="D17" s="12" t="s">
        <v>68</v>
      </c>
      <c r="E17" s="12" t="s">
        <v>50</v>
      </c>
      <c r="F17" s="12" t="s">
        <v>56</v>
      </c>
      <c r="G17" s="12" t="s">
        <v>57</v>
      </c>
      <c r="H17" s="12" t="s">
        <v>58</v>
      </c>
      <c r="I17" s="12" t="s">
        <v>45</v>
      </c>
      <c r="J17" s="12">
        <v>1.191</v>
      </c>
      <c r="K17" s="12" t="s">
        <v>59</v>
      </c>
      <c r="L17" s="12" t="s">
        <v>84</v>
      </c>
      <c r="M17" s="12" t="s">
        <v>89</v>
      </c>
      <c r="N17" s="12" t="s">
        <v>14</v>
      </c>
      <c r="O17" s="12" t="s">
        <v>5</v>
      </c>
      <c r="P17" s="12">
        <v>3</v>
      </c>
      <c r="Q17" s="12">
        <v>3</v>
      </c>
      <c r="R17" s="12" t="s">
        <v>11</v>
      </c>
      <c r="S17" s="14">
        <v>0.627777777777778</v>
      </c>
      <c r="T17" s="12" t="s">
        <v>67</v>
      </c>
      <c r="U17" s="12">
        <v>36501</v>
      </c>
    </row>
    <row r="18" spans="1:21">
      <c r="A18" s="13">
        <v>45839</v>
      </c>
      <c r="B18" s="12">
        <v>123935607</v>
      </c>
      <c r="C18" s="12">
        <v>1990</v>
      </c>
      <c r="D18" s="12" t="s">
        <v>83</v>
      </c>
      <c r="E18" s="12" t="s">
        <v>50</v>
      </c>
      <c r="F18" s="12" t="s">
        <v>86</v>
      </c>
      <c r="G18" s="12" t="s">
        <v>87</v>
      </c>
      <c r="H18" s="12" t="s">
        <v>58</v>
      </c>
      <c r="I18" s="12" t="s">
        <v>37</v>
      </c>
      <c r="J18" s="12">
        <v>0.883</v>
      </c>
      <c r="K18" s="12" t="s">
        <v>88</v>
      </c>
      <c r="L18" s="12" t="s">
        <v>65</v>
      </c>
      <c r="M18" s="12" t="s">
        <v>66</v>
      </c>
      <c r="N18" s="12" t="s">
        <v>14</v>
      </c>
      <c r="O18" s="12" t="s">
        <v>5</v>
      </c>
      <c r="P18" s="12">
        <v>4</v>
      </c>
      <c r="Q18" s="12">
        <v>1</v>
      </c>
      <c r="R18" s="12" t="s">
        <v>11</v>
      </c>
      <c r="S18" s="14">
        <v>0.4625</v>
      </c>
      <c r="T18" s="12" t="s">
        <v>41</v>
      </c>
      <c r="U18" s="12">
        <v>26141</v>
      </c>
    </row>
    <row r="19" spans="1:21">
      <c r="A19" s="13">
        <v>45689</v>
      </c>
      <c r="B19" s="12">
        <v>123492207</v>
      </c>
      <c r="C19" s="12">
        <v>1998</v>
      </c>
      <c r="D19" s="12" t="s">
        <v>61</v>
      </c>
      <c r="E19" s="12" t="s">
        <v>33</v>
      </c>
      <c r="F19" s="12" t="s">
        <v>86</v>
      </c>
      <c r="G19" s="12" t="s">
        <v>87</v>
      </c>
      <c r="H19" s="12" t="s">
        <v>58</v>
      </c>
      <c r="I19" s="12" t="s">
        <v>45</v>
      </c>
      <c r="J19" s="12">
        <v>1.071</v>
      </c>
      <c r="K19" s="12" t="s">
        <v>88</v>
      </c>
      <c r="L19" s="12" t="s">
        <v>84</v>
      </c>
      <c r="M19" s="12" t="s">
        <v>89</v>
      </c>
      <c r="N19" s="12" t="s">
        <v>14</v>
      </c>
      <c r="O19" s="12" t="s">
        <v>6</v>
      </c>
      <c r="P19" s="12">
        <v>0</v>
      </c>
      <c r="Q19" s="12">
        <v>2</v>
      </c>
      <c r="R19" s="12" t="s">
        <v>11</v>
      </c>
      <c r="S19" s="14">
        <v>0.34375</v>
      </c>
      <c r="T19" s="12" t="s">
        <v>41</v>
      </c>
      <c r="U19" s="12">
        <v>925</v>
      </c>
    </row>
    <row r="20" spans="1:21">
      <c r="A20" s="13">
        <v>45962</v>
      </c>
      <c r="B20" s="12">
        <v>123714628</v>
      </c>
      <c r="C20" s="12">
        <v>1958</v>
      </c>
      <c r="D20" s="12" t="s">
        <v>90</v>
      </c>
      <c r="E20" s="12" t="s">
        <v>50</v>
      </c>
      <c r="F20" s="12" t="s">
        <v>91</v>
      </c>
      <c r="G20" s="12" t="s">
        <v>92</v>
      </c>
      <c r="H20" s="12" t="s">
        <v>58</v>
      </c>
      <c r="I20" s="12" t="s">
        <v>45</v>
      </c>
      <c r="J20" s="12">
        <v>0.903</v>
      </c>
      <c r="K20" s="12" t="s">
        <v>93</v>
      </c>
      <c r="L20" s="12" t="s">
        <v>60</v>
      </c>
      <c r="M20" s="12" t="s">
        <v>48</v>
      </c>
      <c r="N20" s="12" t="s">
        <v>12</v>
      </c>
      <c r="O20" s="12" t="s">
        <v>6</v>
      </c>
      <c r="P20" s="12">
        <v>0</v>
      </c>
      <c r="Q20" s="12">
        <v>1</v>
      </c>
      <c r="R20" s="12" t="s">
        <v>11</v>
      </c>
      <c r="S20" s="12" t="s">
        <v>48</v>
      </c>
      <c r="T20" s="12" t="s">
        <v>48</v>
      </c>
      <c r="U20" s="12">
        <v>962</v>
      </c>
    </row>
    <row r="21" spans="1:21">
      <c r="A21" s="13">
        <v>45809</v>
      </c>
      <c r="B21" s="12">
        <v>123779371</v>
      </c>
      <c r="C21" s="12">
        <v>1991</v>
      </c>
      <c r="D21" s="12" t="s">
        <v>83</v>
      </c>
      <c r="E21" s="12" t="s">
        <v>50</v>
      </c>
      <c r="F21" s="12" t="s">
        <v>86</v>
      </c>
      <c r="G21" s="12" t="s">
        <v>87</v>
      </c>
      <c r="H21" s="12" t="s">
        <v>58</v>
      </c>
      <c r="I21" s="12" t="s">
        <v>45</v>
      </c>
      <c r="J21" s="12">
        <v>0.885</v>
      </c>
      <c r="K21" s="12" t="s">
        <v>88</v>
      </c>
      <c r="L21" s="12" t="s">
        <v>39</v>
      </c>
      <c r="M21" s="12" t="s">
        <v>47</v>
      </c>
      <c r="N21" s="12" t="s">
        <v>14</v>
      </c>
      <c r="O21" s="12" t="s">
        <v>5</v>
      </c>
      <c r="P21" s="12">
        <v>3</v>
      </c>
      <c r="Q21" s="12">
        <v>2</v>
      </c>
      <c r="R21" s="12" t="s">
        <v>11</v>
      </c>
      <c r="S21" s="14">
        <v>0.332638888888889</v>
      </c>
      <c r="T21" s="12" t="s">
        <v>41</v>
      </c>
      <c r="U21" s="12">
        <v>16036</v>
      </c>
    </row>
    <row r="22" spans="1:21">
      <c r="A22" s="13">
        <v>45839</v>
      </c>
      <c r="B22" s="12">
        <v>123650676</v>
      </c>
      <c r="C22" s="12">
        <v>1987</v>
      </c>
      <c r="D22" s="12" t="s">
        <v>55</v>
      </c>
      <c r="E22" s="12" t="s">
        <v>50</v>
      </c>
      <c r="F22" s="12" t="s">
        <v>86</v>
      </c>
      <c r="G22" s="12" t="s">
        <v>87</v>
      </c>
      <c r="H22" s="12" t="s">
        <v>58</v>
      </c>
      <c r="I22" s="12" t="s">
        <v>45</v>
      </c>
      <c r="J22" s="12">
        <v>0.948</v>
      </c>
      <c r="K22" s="12" t="s">
        <v>88</v>
      </c>
      <c r="L22" s="12" t="s">
        <v>72</v>
      </c>
      <c r="M22" s="12" t="s">
        <v>73</v>
      </c>
      <c r="N22" s="12" t="s">
        <v>14</v>
      </c>
      <c r="O22" s="12" t="s">
        <v>6</v>
      </c>
      <c r="P22" s="12">
        <v>0</v>
      </c>
      <c r="Q22" s="12">
        <v>3</v>
      </c>
      <c r="R22" s="12" t="s">
        <v>11</v>
      </c>
      <c r="S22" s="14">
        <v>0.483333333333333</v>
      </c>
      <c r="T22" s="12" t="s">
        <v>41</v>
      </c>
      <c r="U22" s="12">
        <v>2195</v>
      </c>
    </row>
    <row r="23" spans="1:21">
      <c r="A23" s="13">
        <v>45778</v>
      </c>
      <c r="B23" s="12">
        <v>123535518</v>
      </c>
      <c r="C23" s="12">
        <v>1997</v>
      </c>
      <c r="D23" s="12" t="s">
        <v>61</v>
      </c>
      <c r="E23" s="12" t="s">
        <v>50</v>
      </c>
      <c r="F23" s="12" t="s">
        <v>91</v>
      </c>
      <c r="G23" s="12" t="s">
        <v>92</v>
      </c>
      <c r="H23" s="12" t="s">
        <v>58</v>
      </c>
      <c r="I23" s="12" t="s">
        <v>45</v>
      </c>
      <c r="J23" s="12">
        <v>1.051</v>
      </c>
      <c r="K23" s="12" t="s">
        <v>93</v>
      </c>
      <c r="L23" s="12" t="s">
        <v>72</v>
      </c>
      <c r="M23" s="12" t="s">
        <v>73</v>
      </c>
      <c r="N23" s="12" t="s">
        <v>14</v>
      </c>
      <c r="O23" s="12" t="s">
        <v>5</v>
      </c>
      <c r="P23" s="12">
        <v>3</v>
      </c>
      <c r="Q23" s="12">
        <v>2</v>
      </c>
      <c r="R23" s="12" t="s">
        <v>11</v>
      </c>
      <c r="S23" s="12" t="s">
        <v>48</v>
      </c>
      <c r="T23" s="12" t="s">
        <v>48</v>
      </c>
      <c r="U23" s="12">
        <v>57483</v>
      </c>
    </row>
    <row r="24" spans="1:21">
      <c r="A24" s="13">
        <v>45717</v>
      </c>
      <c r="B24" s="12">
        <v>123560611</v>
      </c>
      <c r="C24" s="12">
        <v>1960</v>
      </c>
      <c r="D24" s="12" t="s">
        <v>61</v>
      </c>
      <c r="E24" s="12" t="s">
        <v>33</v>
      </c>
      <c r="F24" s="12" t="s">
        <v>80</v>
      </c>
      <c r="G24" s="12" t="s">
        <v>81</v>
      </c>
      <c r="H24" s="12" t="s">
        <v>36</v>
      </c>
      <c r="I24" s="12" t="s">
        <v>45</v>
      </c>
      <c r="J24" s="12">
        <v>0.898</v>
      </c>
      <c r="K24" s="12" t="s">
        <v>82</v>
      </c>
      <c r="L24" s="12" t="s">
        <v>60</v>
      </c>
      <c r="M24" s="12" t="s">
        <v>48</v>
      </c>
      <c r="N24" s="12" t="s">
        <v>12</v>
      </c>
      <c r="O24" s="12" t="s">
        <v>6</v>
      </c>
      <c r="P24" s="12">
        <v>0</v>
      </c>
      <c r="Q24" s="12">
        <v>1</v>
      </c>
      <c r="R24" s="12" t="s">
        <v>11</v>
      </c>
      <c r="S24" s="14">
        <v>0.344444444444444</v>
      </c>
      <c r="T24" s="12" t="s">
        <v>41</v>
      </c>
      <c r="U24" s="12">
        <v>1208</v>
      </c>
    </row>
    <row r="25" spans="1:21">
      <c r="A25" s="13">
        <v>45992</v>
      </c>
      <c r="B25" s="12">
        <v>123904616</v>
      </c>
      <c r="C25" s="12">
        <v>1995</v>
      </c>
      <c r="D25" s="12" t="s">
        <v>83</v>
      </c>
      <c r="E25" s="12" t="s">
        <v>33</v>
      </c>
      <c r="F25" s="12" t="s">
        <v>91</v>
      </c>
      <c r="G25" s="12" t="s">
        <v>92</v>
      </c>
      <c r="H25" s="12" t="s">
        <v>58</v>
      </c>
      <c r="I25" s="12" t="s">
        <v>45</v>
      </c>
      <c r="J25" s="12">
        <v>1.038</v>
      </c>
      <c r="K25" s="12" t="s">
        <v>93</v>
      </c>
      <c r="L25" s="12" t="s">
        <v>39</v>
      </c>
      <c r="M25" s="12" t="s">
        <v>78</v>
      </c>
      <c r="N25" s="12" t="s">
        <v>14</v>
      </c>
      <c r="O25" s="12" t="s">
        <v>6</v>
      </c>
      <c r="P25" s="12">
        <v>0</v>
      </c>
      <c r="Q25" s="12">
        <v>2</v>
      </c>
      <c r="R25" s="12" t="s">
        <v>11</v>
      </c>
      <c r="S25" s="14">
        <v>0.400694444444444</v>
      </c>
      <c r="T25" s="12" t="s">
        <v>41</v>
      </c>
      <c r="U25" s="12">
        <v>446</v>
      </c>
    </row>
    <row r="26" spans="1:21">
      <c r="A26" s="13">
        <v>45931</v>
      </c>
      <c r="B26" s="12">
        <v>123629385</v>
      </c>
      <c r="C26" s="12">
        <v>1956</v>
      </c>
      <c r="D26" s="12" t="s">
        <v>94</v>
      </c>
      <c r="E26" s="12" t="s">
        <v>33</v>
      </c>
      <c r="F26" s="12" t="s">
        <v>69</v>
      </c>
      <c r="G26" s="12" t="s">
        <v>70</v>
      </c>
      <c r="H26" s="12" t="s">
        <v>58</v>
      </c>
      <c r="I26" s="12" t="s">
        <v>45</v>
      </c>
      <c r="J26" s="12">
        <v>0.889</v>
      </c>
      <c r="K26" s="12" t="s">
        <v>71</v>
      </c>
      <c r="L26" s="12" t="s">
        <v>72</v>
      </c>
      <c r="M26" s="12" t="s">
        <v>95</v>
      </c>
      <c r="N26" s="12" t="s">
        <v>14</v>
      </c>
      <c r="O26" s="12" t="s">
        <v>6</v>
      </c>
      <c r="P26" s="12">
        <v>0</v>
      </c>
      <c r="Q26" s="12">
        <v>2</v>
      </c>
      <c r="R26" s="12" t="s">
        <v>13</v>
      </c>
      <c r="S26" s="12" t="s">
        <v>48</v>
      </c>
      <c r="T26" s="12" t="s">
        <v>48</v>
      </c>
      <c r="U26" s="12">
        <v>1562</v>
      </c>
    </row>
    <row r="27" spans="1:21">
      <c r="A27" s="13">
        <v>45870</v>
      </c>
      <c r="B27" s="12">
        <v>123624821</v>
      </c>
      <c r="C27" s="12">
        <v>1992</v>
      </c>
      <c r="D27" s="12" t="s">
        <v>83</v>
      </c>
      <c r="E27" s="12" t="s">
        <v>50</v>
      </c>
      <c r="F27" s="12" t="s">
        <v>86</v>
      </c>
      <c r="G27" s="12" t="s">
        <v>87</v>
      </c>
      <c r="H27" s="12" t="s">
        <v>58</v>
      </c>
      <c r="I27" s="12" t="s">
        <v>45</v>
      </c>
      <c r="J27" s="12">
        <v>0.897</v>
      </c>
      <c r="K27" s="12" t="s">
        <v>88</v>
      </c>
      <c r="L27" s="12" t="s">
        <v>65</v>
      </c>
      <c r="M27" s="12" t="s">
        <v>96</v>
      </c>
      <c r="N27" s="12" t="s">
        <v>14</v>
      </c>
      <c r="O27" s="12" t="s">
        <v>6</v>
      </c>
      <c r="P27" s="12">
        <v>0</v>
      </c>
      <c r="Q27" s="12">
        <v>3</v>
      </c>
      <c r="R27" s="12" t="s">
        <v>13</v>
      </c>
      <c r="S27" s="12" t="s">
        <v>48</v>
      </c>
      <c r="T27" s="12" t="s">
        <v>48</v>
      </c>
      <c r="U27" s="12">
        <v>1044</v>
      </c>
    </row>
    <row r="28" spans="1:21">
      <c r="A28" s="13">
        <v>45778</v>
      </c>
      <c r="B28" s="12">
        <v>123958307</v>
      </c>
      <c r="C28" s="12">
        <v>1995</v>
      </c>
      <c r="D28" s="12" t="s">
        <v>97</v>
      </c>
      <c r="E28" s="12" t="s">
        <v>50</v>
      </c>
      <c r="F28" s="12" t="s">
        <v>69</v>
      </c>
      <c r="G28" s="12" t="s">
        <v>70</v>
      </c>
      <c r="H28" s="12" t="s">
        <v>58</v>
      </c>
      <c r="I28" s="12" t="s">
        <v>45</v>
      </c>
      <c r="J28" s="12">
        <v>1.097</v>
      </c>
      <c r="K28" s="12" t="s">
        <v>71</v>
      </c>
      <c r="L28" s="12" t="s">
        <v>39</v>
      </c>
      <c r="M28" s="12" t="s">
        <v>47</v>
      </c>
      <c r="N28" s="12" t="s">
        <v>14</v>
      </c>
      <c r="O28" s="12" t="s">
        <v>6</v>
      </c>
      <c r="P28" s="12">
        <v>0</v>
      </c>
      <c r="Q28" s="12">
        <v>1</v>
      </c>
      <c r="R28" s="12" t="s">
        <v>11</v>
      </c>
      <c r="S28" s="14">
        <v>0.325694444444444</v>
      </c>
      <c r="T28" s="12" t="s">
        <v>41</v>
      </c>
      <c r="U28" s="12">
        <v>135</v>
      </c>
    </row>
    <row r="29" spans="1:21">
      <c r="A29" s="13">
        <v>45931</v>
      </c>
      <c r="B29" s="12">
        <v>123534266</v>
      </c>
      <c r="C29" s="12">
        <v>2004</v>
      </c>
      <c r="D29" s="12" t="s">
        <v>83</v>
      </c>
      <c r="E29" s="12" t="s">
        <v>50</v>
      </c>
      <c r="F29" s="12" t="s">
        <v>69</v>
      </c>
      <c r="G29" s="12" t="s">
        <v>70</v>
      </c>
      <c r="H29" s="12" t="s">
        <v>58</v>
      </c>
      <c r="I29" s="12" t="s">
        <v>37</v>
      </c>
      <c r="J29" s="12">
        <v>1.13</v>
      </c>
      <c r="K29" s="12" t="s">
        <v>71</v>
      </c>
      <c r="L29" s="12" t="s">
        <v>60</v>
      </c>
      <c r="M29" s="12" t="s">
        <v>48</v>
      </c>
      <c r="N29" s="12" t="s">
        <v>12</v>
      </c>
      <c r="O29" s="12" t="s">
        <v>6</v>
      </c>
      <c r="P29" s="12">
        <v>0</v>
      </c>
      <c r="Q29" s="12">
        <v>3</v>
      </c>
      <c r="R29" s="12" t="s">
        <v>11</v>
      </c>
      <c r="S29" s="12" t="s">
        <v>48</v>
      </c>
      <c r="T29" s="12" t="s">
        <v>48</v>
      </c>
      <c r="U29" s="12">
        <v>1329</v>
      </c>
    </row>
    <row r="30" spans="1:21">
      <c r="A30" s="13">
        <v>45839</v>
      </c>
      <c r="B30" s="12">
        <v>123953904</v>
      </c>
      <c r="C30" s="12">
        <v>1993</v>
      </c>
      <c r="D30" s="12" t="s">
        <v>98</v>
      </c>
      <c r="E30" s="12" t="s">
        <v>50</v>
      </c>
      <c r="F30" s="12" t="s">
        <v>56</v>
      </c>
      <c r="G30" s="12" t="s">
        <v>57</v>
      </c>
      <c r="H30" s="12" t="s">
        <v>58</v>
      </c>
      <c r="I30" s="12" t="s">
        <v>45</v>
      </c>
      <c r="J30" s="12">
        <v>0.905</v>
      </c>
      <c r="K30" s="12" t="s">
        <v>59</v>
      </c>
      <c r="L30" s="12" t="s">
        <v>39</v>
      </c>
      <c r="M30" s="12" t="s">
        <v>40</v>
      </c>
      <c r="N30" s="12" t="s">
        <v>14</v>
      </c>
      <c r="O30" s="12" t="s">
        <v>5</v>
      </c>
      <c r="P30" s="12">
        <v>4</v>
      </c>
      <c r="Q30" s="12">
        <v>1</v>
      </c>
      <c r="R30" s="12" t="s">
        <v>11</v>
      </c>
      <c r="S30" s="14">
        <v>0.583333333333333</v>
      </c>
      <c r="T30" s="12" t="s">
        <v>67</v>
      </c>
      <c r="U30" s="12">
        <v>23382</v>
      </c>
    </row>
    <row r="31" spans="1:21">
      <c r="A31" s="13">
        <v>45809</v>
      </c>
      <c r="B31" s="12">
        <v>123957007</v>
      </c>
      <c r="C31" s="12">
        <v>1988</v>
      </c>
      <c r="D31" s="12" t="s">
        <v>90</v>
      </c>
      <c r="E31" s="12" t="s">
        <v>50</v>
      </c>
      <c r="F31" s="12" t="s">
        <v>91</v>
      </c>
      <c r="G31" s="12" t="s">
        <v>92</v>
      </c>
      <c r="H31" s="12" t="s">
        <v>58</v>
      </c>
      <c r="I31" s="12" t="s">
        <v>45</v>
      </c>
      <c r="J31" s="12">
        <v>0.96</v>
      </c>
      <c r="K31" s="12" t="s">
        <v>93</v>
      </c>
      <c r="L31" s="12" t="s">
        <v>39</v>
      </c>
      <c r="M31" s="12" t="s">
        <v>40</v>
      </c>
      <c r="N31" s="12" t="s">
        <v>14</v>
      </c>
      <c r="O31" s="12" t="s">
        <v>6</v>
      </c>
      <c r="P31" s="12">
        <v>0</v>
      </c>
      <c r="Q31" s="12">
        <v>1</v>
      </c>
      <c r="R31" s="12" t="s">
        <v>11</v>
      </c>
      <c r="S31" s="12" t="s">
        <v>48</v>
      </c>
      <c r="T31" s="12" t="s">
        <v>48</v>
      </c>
      <c r="U31" s="12">
        <v>589</v>
      </c>
    </row>
    <row r="32" spans="1:21">
      <c r="A32" s="13">
        <v>45809</v>
      </c>
      <c r="B32" s="12">
        <v>123781615</v>
      </c>
      <c r="C32" s="12">
        <v>1994</v>
      </c>
      <c r="D32" s="12" t="s">
        <v>61</v>
      </c>
      <c r="E32" s="12" t="s">
        <v>50</v>
      </c>
      <c r="F32" s="12" t="s">
        <v>91</v>
      </c>
      <c r="G32" s="12" t="s">
        <v>92</v>
      </c>
      <c r="H32" s="12" t="s">
        <v>58</v>
      </c>
      <c r="I32" s="12" t="s">
        <v>45</v>
      </c>
      <c r="J32" s="12">
        <v>1.062</v>
      </c>
      <c r="K32" s="12" t="s">
        <v>93</v>
      </c>
      <c r="L32" s="12" t="s">
        <v>84</v>
      </c>
      <c r="M32" s="12" t="s">
        <v>89</v>
      </c>
      <c r="N32" s="12" t="s">
        <v>14</v>
      </c>
      <c r="O32" s="12" t="s">
        <v>6</v>
      </c>
      <c r="P32" s="12">
        <v>0</v>
      </c>
      <c r="Q32" s="12">
        <v>1</v>
      </c>
      <c r="R32" s="12" t="s">
        <v>11</v>
      </c>
      <c r="S32" s="14">
        <v>0.253472222222222</v>
      </c>
      <c r="T32" s="12" t="s">
        <v>41</v>
      </c>
      <c r="U32" s="12">
        <v>1584</v>
      </c>
    </row>
    <row r="33" spans="1:26">
      <c r="A33" s="13">
        <v>45717</v>
      </c>
      <c r="B33" s="12">
        <v>123546049</v>
      </c>
      <c r="C33" s="12">
        <v>1984</v>
      </c>
      <c r="D33" s="12" t="s">
        <v>68</v>
      </c>
      <c r="E33" s="12" t="s">
        <v>50</v>
      </c>
      <c r="F33" s="12" t="s">
        <v>91</v>
      </c>
      <c r="G33" s="12" t="s">
        <v>92</v>
      </c>
      <c r="H33" s="12" t="s">
        <v>58</v>
      </c>
      <c r="I33" s="12" t="s">
        <v>45</v>
      </c>
      <c r="J33" s="12">
        <v>1.002</v>
      </c>
      <c r="K33" s="12" t="s">
        <v>93</v>
      </c>
      <c r="L33" s="12" t="s">
        <v>72</v>
      </c>
      <c r="M33" s="12" t="s">
        <v>73</v>
      </c>
      <c r="N33" s="12" t="s">
        <v>14</v>
      </c>
      <c r="O33" s="12" t="s">
        <v>6</v>
      </c>
      <c r="P33" s="12">
        <v>0</v>
      </c>
      <c r="Q33" s="12">
        <v>1</v>
      </c>
      <c r="R33" s="12" t="s">
        <v>11</v>
      </c>
      <c r="S33" s="12" t="s">
        <v>48</v>
      </c>
      <c r="T33" s="12" t="s">
        <v>48</v>
      </c>
      <c r="U33" s="12">
        <v>532</v>
      </c>
    </row>
    <row r="34" spans="1:26">
      <c r="A34" s="13">
        <v>45689</v>
      </c>
      <c r="B34" s="12">
        <v>123540788</v>
      </c>
      <c r="C34" s="12">
        <v>1982</v>
      </c>
      <c r="D34" s="12" t="s">
        <v>83</v>
      </c>
      <c r="E34" s="12" t="s">
        <v>50</v>
      </c>
      <c r="F34" s="12" t="s">
        <v>43</v>
      </c>
      <c r="G34" s="12" t="s">
        <v>44</v>
      </c>
      <c r="H34" s="12" t="s">
        <v>36</v>
      </c>
      <c r="I34" s="12" t="s">
        <v>45</v>
      </c>
      <c r="J34" s="12">
        <v>1.045</v>
      </c>
      <c r="K34" s="12" t="s">
        <v>46</v>
      </c>
      <c r="L34" s="12" t="s">
        <v>39</v>
      </c>
      <c r="M34" s="12" t="s">
        <v>78</v>
      </c>
      <c r="N34" s="12" t="s">
        <v>14</v>
      </c>
      <c r="O34" s="12" t="s">
        <v>6</v>
      </c>
      <c r="P34" s="12">
        <v>0</v>
      </c>
      <c r="Q34" s="12">
        <v>1</v>
      </c>
      <c r="R34" s="12" t="s">
        <v>13</v>
      </c>
      <c r="S34" s="12" t="s">
        <v>48</v>
      </c>
      <c r="T34" s="12" t="s">
        <v>48</v>
      </c>
      <c r="U34" s="12">
        <v>1345</v>
      </c>
    </row>
    <row r="35" spans="1:26">
      <c r="A35" s="13">
        <v>45839</v>
      </c>
      <c r="B35" s="12">
        <v>123610887</v>
      </c>
      <c r="C35" s="12">
        <v>1997</v>
      </c>
      <c r="D35" s="12" t="s">
        <v>42</v>
      </c>
      <c r="E35" s="12" t="s">
        <v>33</v>
      </c>
      <c r="F35" s="12" t="s">
        <v>34</v>
      </c>
      <c r="G35" s="12" t="s">
        <v>35</v>
      </c>
      <c r="H35" s="12" t="s">
        <v>36</v>
      </c>
      <c r="I35" s="12" t="s">
        <v>45</v>
      </c>
      <c r="J35" s="12">
        <v>1.11</v>
      </c>
      <c r="K35" s="12" t="s">
        <v>38</v>
      </c>
      <c r="L35" s="12" t="s">
        <v>39</v>
      </c>
      <c r="M35" s="12" t="s">
        <v>40</v>
      </c>
      <c r="N35" s="12" t="s">
        <v>14</v>
      </c>
      <c r="O35" s="12" t="s">
        <v>6</v>
      </c>
      <c r="P35" s="12">
        <v>0</v>
      </c>
      <c r="Q35" s="12">
        <v>2</v>
      </c>
      <c r="R35" s="12" t="s">
        <v>11</v>
      </c>
      <c r="S35" s="14">
        <v>0.267361111111111</v>
      </c>
      <c r="T35" s="12" t="s">
        <v>41</v>
      </c>
      <c r="U35" s="12">
        <v>2153</v>
      </c>
    </row>
    <row r="36" spans="1:26">
      <c r="A36" s="13">
        <v>45962</v>
      </c>
      <c r="B36" s="12">
        <v>123770113</v>
      </c>
      <c r="C36" s="12">
        <v>1975</v>
      </c>
      <c r="D36" s="12" t="s">
        <v>61</v>
      </c>
      <c r="E36" s="12" t="s">
        <v>50</v>
      </c>
      <c r="F36" s="12" t="s">
        <v>51</v>
      </c>
      <c r="G36" s="12" t="s">
        <v>52</v>
      </c>
      <c r="H36" s="12" t="s">
        <v>53</v>
      </c>
      <c r="I36" s="12" t="s">
        <v>37</v>
      </c>
      <c r="J36" s="12">
        <v>0.937</v>
      </c>
      <c r="K36" s="12" t="s">
        <v>54</v>
      </c>
      <c r="L36" s="12" t="s">
        <v>39</v>
      </c>
      <c r="M36" s="12" t="s">
        <v>78</v>
      </c>
      <c r="N36" s="12" t="s">
        <v>14</v>
      </c>
      <c r="O36" s="12" t="s">
        <v>5</v>
      </c>
      <c r="P36" s="12">
        <v>3</v>
      </c>
      <c r="Q36" s="12">
        <v>1</v>
      </c>
      <c r="R36" s="12" t="s">
        <v>11</v>
      </c>
      <c r="S36" s="14">
        <v>0.494444444444444</v>
      </c>
      <c r="T36" s="12" t="s">
        <v>41</v>
      </c>
      <c r="U36" s="12">
        <v>30926</v>
      </c>
    </row>
    <row r="37" spans="1:26">
      <c r="A37" s="13">
        <v>45658</v>
      </c>
      <c r="B37" s="12">
        <v>123539565</v>
      </c>
      <c r="C37" s="12">
        <v>1979</v>
      </c>
      <c r="D37" s="12" t="s">
        <v>97</v>
      </c>
      <c r="E37" s="12" t="s">
        <v>50</v>
      </c>
      <c r="F37" s="12" t="s">
        <v>91</v>
      </c>
      <c r="G37" s="12" t="s">
        <v>92</v>
      </c>
      <c r="H37" s="12" t="s">
        <v>58</v>
      </c>
      <c r="I37" s="12" t="s">
        <v>45</v>
      </c>
      <c r="J37" s="12">
        <v>1.013</v>
      </c>
      <c r="K37" s="12" t="s">
        <v>93</v>
      </c>
      <c r="L37" s="12" t="s">
        <v>65</v>
      </c>
      <c r="M37" s="12" t="s">
        <v>96</v>
      </c>
      <c r="N37" s="12" t="s">
        <v>14</v>
      </c>
      <c r="O37" s="12" t="s">
        <v>5</v>
      </c>
      <c r="P37" s="12">
        <v>3</v>
      </c>
      <c r="Q37" s="12">
        <v>1</v>
      </c>
      <c r="R37" s="12" t="s">
        <v>11</v>
      </c>
      <c r="S37" s="14">
        <v>0.46875</v>
      </c>
      <c r="T37" s="12" t="s">
        <v>41</v>
      </c>
      <c r="U37" s="12">
        <v>58089</v>
      </c>
    </row>
    <row r="38" spans="1:26">
      <c r="A38" s="13">
        <v>45962</v>
      </c>
      <c r="B38" s="12">
        <v>123703877</v>
      </c>
      <c r="C38" s="12">
        <v>1995</v>
      </c>
      <c r="D38" s="12" t="s">
        <v>49</v>
      </c>
      <c r="E38" s="12" t="s">
        <v>33</v>
      </c>
      <c r="F38" s="12" t="s">
        <v>56</v>
      </c>
      <c r="G38" s="12" t="s">
        <v>57</v>
      </c>
      <c r="H38" s="12" t="s">
        <v>58</v>
      </c>
      <c r="I38" s="12" t="s">
        <v>45</v>
      </c>
      <c r="J38" s="12">
        <v>0.958</v>
      </c>
      <c r="K38" s="12" t="s">
        <v>59</v>
      </c>
      <c r="L38" s="12" t="s">
        <v>60</v>
      </c>
      <c r="M38" s="12" t="s">
        <v>48</v>
      </c>
      <c r="N38" s="12" t="s">
        <v>12</v>
      </c>
      <c r="O38" s="12" t="s">
        <v>6</v>
      </c>
      <c r="P38" s="12">
        <v>0</v>
      </c>
      <c r="Q38" s="12">
        <v>1</v>
      </c>
      <c r="R38" s="12" t="s">
        <v>11</v>
      </c>
      <c r="S38" s="12" t="s">
        <v>48</v>
      </c>
      <c r="T38" s="12" t="s">
        <v>48</v>
      </c>
      <c r="U38" s="12">
        <v>902</v>
      </c>
      <c r="Z38" s="15"/>
    </row>
    <row r="39" spans="1:26">
      <c r="A39" s="13">
        <v>45931</v>
      </c>
      <c r="B39" s="12">
        <v>123518826</v>
      </c>
      <c r="C39" s="12">
        <v>1967</v>
      </c>
      <c r="D39" s="12" t="s">
        <v>61</v>
      </c>
      <c r="E39" s="12" t="s">
        <v>33</v>
      </c>
      <c r="F39" s="12" t="s">
        <v>80</v>
      </c>
      <c r="G39" s="12" t="s">
        <v>81</v>
      </c>
      <c r="H39" s="12" t="s">
        <v>36</v>
      </c>
      <c r="I39" s="12" t="s">
        <v>45</v>
      </c>
      <c r="J39" s="12">
        <v>0.933</v>
      </c>
      <c r="K39" s="12" t="s">
        <v>82</v>
      </c>
      <c r="L39" s="12" t="s">
        <v>72</v>
      </c>
      <c r="M39" s="12" t="s">
        <v>95</v>
      </c>
      <c r="N39" s="12" t="s">
        <v>14</v>
      </c>
      <c r="O39" s="12" t="s">
        <v>6</v>
      </c>
      <c r="P39" s="12">
        <v>0</v>
      </c>
      <c r="Q39" s="12">
        <v>1</v>
      </c>
      <c r="R39" s="12" t="s">
        <v>11</v>
      </c>
      <c r="S39" s="14">
        <v>0.732638888888889</v>
      </c>
      <c r="T39" s="12" t="s">
        <v>67</v>
      </c>
      <c r="U39" s="12">
        <v>360</v>
      </c>
    </row>
    <row r="40" spans="1:26">
      <c r="A40" s="13">
        <v>45748</v>
      </c>
      <c r="B40" s="12">
        <v>123749914</v>
      </c>
      <c r="C40" s="12">
        <v>1968</v>
      </c>
      <c r="D40" s="12" t="s">
        <v>90</v>
      </c>
      <c r="E40" s="12" t="s">
        <v>33</v>
      </c>
      <c r="F40" s="12" t="s">
        <v>34</v>
      </c>
      <c r="G40" s="12" t="s">
        <v>35</v>
      </c>
      <c r="H40" s="12" t="s">
        <v>36</v>
      </c>
      <c r="I40" s="12" t="s">
        <v>45</v>
      </c>
      <c r="J40" s="12">
        <v>1.001</v>
      </c>
      <c r="K40" s="12" t="s">
        <v>38</v>
      </c>
      <c r="L40" s="12" t="s">
        <v>39</v>
      </c>
      <c r="M40" s="12" t="s">
        <v>47</v>
      </c>
      <c r="N40" s="12" t="s">
        <v>14</v>
      </c>
      <c r="O40" s="12" t="s">
        <v>6</v>
      </c>
      <c r="P40" s="12">
        <v>0</v>
      </c>
      <c r="Q40" s="12">
        <v>3</v>
      </c>
      <c r="R40" s="12" t="s">
        <v>11</v>
      </c>
      <c r="S40" s="12" t="s">
        <v>48</v>
      </c>
      <c r="T40" s="12" t="s">
        <v>48</v>
      </c>
      <c r="U40" s="12">
        <v>1399</v>
      </c>
    </row>
    <row r="41" spans="1:26">
      <c r="A41" s="13">
        <v>45870</v>
      </c>
      <c r="B41" s="12">
        <v>123467504</v>
      </c>
      <c r="C41" s="12">
        <v>1991</v>
      </c>
      <c r="D41" s="12" t="s">
        <v>97</v>
      </c>
      <c r="E41" s="12" t="s">
        <v>50</v>
      </c>
      <c r="F41" s="12" t="s">
        <v>75</v>
      </c>
      <c r="G41" s="12" t="s">
        <v>76</v>
      </c>
      <c r="H41" s="12" t="s">
        <v>53</v>
      </c>
      <c r="I41" s="12" t="s">
        <v>45</v>
      </c>
      <c r="J41" s="12">
        <v>1.047</v>
      </c>
      <c r="K41" s="12" t="s">
        <v>77</v>
      </c>
      <c r="L41" s="12" t="s">
        <v>72</v>
      </c>
      <c r="M41" s="12" t="s">
        <v>73</v>
      </c>
      <c r="N41" s="12" t="s">
        <v>14</v>
      </c>
      <c r="O41" s="12" t="s">
        <v>6</v>
      </c>
      <c r="P41" s="12">
        <v>0</v>
      </c>
      <c r="Q41" s="12">
        <v>3</v>
      </c>
      <c r="R41" s="12" t="s">
        <v>11</v>
      </c>
      <c r="S41" s="12" t="s">
        <v>48</v>
      </c>
      <c r="T41" s="12" t="s">
        <v>48</v>
      </c>
      <c r="U41" s="12">
        <v>631</v>
      </c>
    </row>
    <row r="42" spans="1:26">
      <c r="A42" s="13">
        <v>45689</v>
      </c>
      <c r="B42" s="12">
        <v>123841714</v>
      </c>
      <c r="C42" s="12">
        <v>1987</v>
      </c>
      <c r="D42" s="12" t="s">
        <v>83</v>
      </c>
      <c r="E42" s="12" t="s">
        <v>33</v>
      </c>
      <c r="F42" s="12" t="s">
        <v>75</v>
      </c>
      <c r="G42" s="12" t="s">
        <v>76</v>
      </c>
      <c r="H42" s="12" t="s">
        <v>53</v>
      </c>
      <c r="I42" s="12" t="s">
        <v>45</v>
      </c>
      <c r="J42" s="12">
        <v>1.083</v>
      </c>
      <c r="K42" s="12" t="s">
        <v>77</v>
      </c>
      <c r="L42" s="12" t="s">
        <v>60</v>
      </c>
      <c r="M42" s="12" t="s">
        <v>48</v>
      </c>
      <c r="N42" s="12" t="s">
        <v>12</v>
      </c>
      <c r="O42" s="12" t="s">
        <v>5</v>
      </c>
      <c r="P42" s="12">
        <v>6</v>
      </c>
      <c r="Q42" s="12">
        <v>1</v>
      </c>
      <c r="R42" s="12" t="s">
        <v>13</v>
      </c>
      <c r="S42" s="14">
        <v>0.701388888888889</v>
      </c>
      <c r="T42" s="12" t="s">
        <v>67</v>
      </c>
      <c r="U42" s="12">
        <v>33496</v>
      </c>
    </row>
    <row r="43" spans="1:26">
      <c r="A43" s="13">
        <v>45931</v>
      </c>
      <c r="B43" s="12">
        <v>123486135</v>
      </c>
      <c r="C43" s="12">
        <v>2003</v>
      </c>
      <c r="D43" s="12" t="s">
        <v>97</v>
      </c>
      <c r="E43" s="12" t="s">
        <v>50</v>
      </c>
      <c r="F43" s="12" t="s">
        <v>80</v>
      </c>
      <c r="G43" s="12" t="s">
        <v>81</v>
      </c>
      <c r="H43" s="12" t="s">
        <v>36</v>
      </c>
      <c r="I43" s="12" t="s">
        <v>37</v>
      </c>
      <c r="J43" s="12">
        <v>0.895</v>
      </c>
      <c r="K43" s="12" t="s">
        <v>82</v>
      </c>
      <c r="L43" s="12" t="s">
        <v>65</v>
      </c>
      <c r="M43" s="12" t="s">
        <v>96</v>
      </c>
      <c r="N43" s="12" t="s">
        <v>14</v>
      </c>
      <c r="O43" s="12" t="s">
        <v>6</v>
      </c>
      <c r="P43" s="12">
        <v>0</v>
      </c>
      <c r="Q43" s="12">
        <v>2</v>
      </c>
      <c r="R43" s="12" t="s">
        <v>11</v>
      </c>
      <c r="S43" s="12" t="s">
        <v>48</v>
      </c>
      <c r="T43" s="12" t="s">
        <v>48</v>
      </c>
      <c r="U43" s="12">
        <v>351</v>
      </c>
    </row>
    <row r="44" spans="1:26">
      <c r="A44" s="13">
        <v>45901</v>
      </c>
      <c r="B44" s="12">
        <v>123561982</v>
      </c>
      <c r="C44" s="12">
        <v>1999</v>
      </c>
      <c r="D44" s="12" t="s">
        <v>55</v>
      </c>
      <c r="E44" s="12" t="s">
        <v>50</v>
      </c>
      <c r="F44" s="12" t="s">
        <v>62</v>
      </c>
      <c r="G44" s="12" t="s">
        <v>63</v>
      </c>
      <c r="H44" s="12" t="s">
        <v>58</v>
      </c>
      <c r="I44" s="12" t="s">
        <v>45</v>
      </c>
      <c r="J44" s="12">
        <v>1.13</v>
      </c>
      <c r="K44" s="12" t="s">
        <v>64</v>
      </c>
      <c r="L44" s="12" t="s">
        <v>39</v>
      </c>
      <c r="M44" s="12" t="s">
        <v>40</v>
      </c>
      <c r="N44" s="12" t="s">
        <v>14</v>
      </c>
      <c r="O44" s="12" t="s">
        <v>5</v>
      </c>
      <c r="P44" s="12">
        <v>2</v>
      </c>
      <c r="Q44" s="12">
        <v>2</v>
      </c>
      <c r="R44" s="12" t="s">
        <v>11</v>
      </c>
      <c r="S44" s="14">
        <v>0.897222222222222</v>
      </c>
      <c r="T44" s="12" t="s">
        <v>67</v>
      </c>
      <c r="U44" s="12">
        <v>8006</v>
      </c>
    </row>
    <row r="45" spans="1:26">
      <c r="A45" s="13">
        <v>45778</v>
      </c>
      <c r="B45" s="12">
        <v>123551004</v>
      </c>
      <c r="C45" s="12">
        <v>1999</v>
      </c>
      <c r="D45" s="12" t="s">
        <v>49</v>
      </c>
      <c r="E45" s="12" t="s">
        <v>50</v>
      </c>
      <c r="F45" s="12" t="s">
        <v>62</v>
      </c>
      <c r="G45" s="12" t="s">
        <v>63</v>
      </c>
      <c r="H45" s="12" t="s">
        <v>58</v>
      </c>
      <c r="I45" s="12" t="s">
        <v>45</v>
      </c>
      <c r="J45" s="12">
        <v>0.942</v>
      </c>
      <c r="K45" s="12" t="s">
        <v>64</v>
      </c>
      <c r="L45" s="12" t="s">
        <v>39</v>
      </c>
      <c r="M45" s="12" t="s">
        <v>78</v>
      </c>
      <c r="N45" s="12" t="s">
        <v>14</v>
      </c>
      <c r="O45" s="12" t="s">
        <v>6</v>
      </c>
      <c r="P45" s="12">
        <v>0</v>
      </c>
      <c r="Q45" s="12">
        <v>3</v>
      </c>
      <c r="R45" s="12" t="s">
        <v>11</v>
      </c>
      <c r="S45" s="14">
        <v>0.373611111111111</v>
      </c>
      <c r="T45" s="12" t="s">
        <v>41</v>
      </c>
      <c r="U45" s="12">
        <v>1466</v>
      </c>
    </row>
    <row r="46" spans="1:26">
      <c r="A46" s="13">
        <v>45658</v>
      </c>
      <c r="B46" s="12">
        <v>123908059</v>
      </c>
      <c r="C46" s="12">
        <v>1975</v>
      </c>
      <c r="D46" s="12" t="s">
        <v>49</v>
      </c>
      <c r="E46" s="12" t="s">
        <v>50</v>
      </c>
      <c r="F46" s="12" t="s">
        <v>75</v>
      </c>
      <c r="G46" s="12" t="s">
        <v>76</v>
      </c>
      <c r="H46" s="12" t="s">
        <v>53</v>
      </c>
      <c r="I46" s="12" t="s">
        <v>45</v>
      </c>
      <c r="J46" s="12">
        <v>0.938</v>
      </c>
      <c r="K46" s="12" t="s">
        <v>77</v>
      </c>
      <c r="L46" s="12" t="s">
        <v>60</v>
      </c>
      <c r="M46" s="12" t="s">
        <v>48</v>
      </c>
      <c r="N46" s="12" t="s">
        <v>12</v>
      </c>
      <c r="O46" s="12" t="s">
        <v>6</v>
      </c>
      <c r="P46" s="12">
        <v>0</v>
      </c>
      <c r="Q46" s="12">
        <v>1</v>
      </c>
      <c r="R46" s="12" t="s">
        <v>11</v>
      </c>
      <c r="S46" s="12" t="s">
        <v>48</v>
      </c>
      <c r="T46" s="12" t="s">
        <v>48</v>
      </c>
      <c r="U46" s="12">
        <v>235</v>
      </c>
    </row>
    <row r="47" spans="1:26">
      <c r="A47" s="13">
        <v>45992</v>
      </c>
      <c r="B47" s="12">
        <v>123485039</v>
      </c>
      <c r="C47" s="12">
        <v>2005</v>
      </c>
      <c r="D47" s="12" t="s">
        <v>61</v>
      </c>
      <c r="E47" s="12" t="s">
        <v>50</v>
      </c>
      <c r="F47" s="12" t="s">
        <v>80</v>
      </c>
      <c r="G47" s="12" t="s">
        <v>81</v>
      </c>
      <c r="H47" s="12" t="s">
        <v>36</v>
      </c>
      <c r="I47" s="12" t="s">
        <v>37</v>
      </c>
      <c r="J47" s="12">
        <v>1</v>
      </c>
      <c r="K47" s="12" t="s">
        <v>82</v>
      </c>
      <c r="L47" s="12" t="s">
        <v>60</v>
      </c>
      <c r="M47" s="12" t="s">
        <v>48</v>
      </c>
      <c r="N47" s="12" t="s">
        <v>12</v>
      </c>
      <c r="O47" s="12" t="s">
        <v>6</v>
      </c>
      <c r="P47" s="12">
        <v>0</v>
      </c>
      <c r="Q47" s="12">
        <v>1</v>
      </c>
      <c r="R47" s="12" t="s">
        <v>13</v>
      </c>
      <c r="S47" s="12" t="s">
        <v>48</v>
      </c>
      <c r="T47" s="12" t="s">
        <v>48</v>
      </c>
      <c r="U47" s="12">
        <v>923</v>
      </c>
    </row>
    <row r="48" spans="1:26">
      <c r="A48" s="13">
        <v>45809</v>
      </c>
      <c r="B48" s="12">
        <v>123689516</v>
      </c>
      <c r="C48" s="12">
        <v>1991</v>
      </c>
      <c r="D48" s="12" t="s">
        <v>42</v>
      </c>
      <c r="E48" s="12" t="s">
        <v>50</v>
      </c>
      <c r="F48" s="12" t="s">
        <v>51</v>
      </c>
      <c r="G48" s="12" t="s">
        <v>52</v>
      </c>
      <c r="H48" s="12" t="s">
        <v>53</v>
      </c>
      <c r="I48" s="12" t="s">
        <v>45</v>
      </c>
      <c r="J48" s="12">
        <v>1.106</v>
      </c>
      <c r="K48" s="12" t="s">
        <v>54</v>
      </c>
      <c r="L48" s="12" t="s">
        <v>39</v>
      </c>
      <c r="M48" s="12" t="s">
        <v>78</v>
      </c>
      <c r="N48" s="12" t="s">
        <v>14</v>
      </c>
      <c r="O48" s="12" t="s">
        <v>6</v>
      </c>
      <c r="P48" s="12">
        <v>0</v>
      </c>
      <c r="Q48" s="12">
        <v>2</v>
      </c>
      <c r="R48" s="12" t="s">
        <v>13</v>
      </c>
      <c r="S48" s="12" t="s">
        <v>48</v>
      </c>
      <c r="T48" s="12" t="s">
        <v>48</v>
      </c>
      <c r="U48" s="12">
        <v>1512</v>
      </c>
    </row>
    <row r="49" spans="1:21">
      <c r="A49" s="13">
        <v>45962</v>
      </c>
      <c r="B49" s="12">
        <v>123777581</v>
      </c>
      <c r="C49" s="12">
        <v>1969</v>
      </c>
      <c r="D49" s="12" t="s">
        <v>98</v>
      </c>
      <c r="E49" s="12" t="s">
        <v>33</v>
      </c>
      <c r="F49" s="12" t="s">
        <v>86</v>
      </c>
      <c r="G49" s="12" t="s">
        <v>87</v>
      </c>
      <c r="H49" s="12" t="s">
        <v>58</v>
      </c>
      <c r="I49" s="12" t="s">
        <v>45</v>
      </c>
      <c r="J49" s="12">
        <v>0.898</v>
      </c>
      <c r="K49" s="12" t="s">
        <v>88</v>
      </c>
      <c r="L49" s="12" t="s">
        <v>65</v>
      </c>
      <c r="M49" s="12" t="s">
        <v>96</v>
      </c>
      <c r="N49" s="12" t="s">
        <v>14</v>
      </c>
      <c r="O49" s="12" t="s">
        <v>4</v>
      </c>
      <c r="P49" s="12">
        <v>1</v>
      </c>
      <c r="Q49" s="12">
        <v>3</v>
      </c>
      <c r="R49" s="12" t="s">
        <v>13</v>
      </c>
      <c r="S49" s="14">
        <v>0.894444444444444</v>
      </c>
      <c r="T49" s="12" t="s">
        <v>67</v>
      </c>
      <c r="U49" s="12">
        <v>4237</v>
      </c>
    </row>
    <row r="50" spans="1:21">
      <c r="A50" s="13">
        <v>45901</v>
      </c>
      <c r="B50" s="12">
        <v>123736701</v>
      </c>
      <c r="C50" s="12">
        <v>1999</v>
      </c>
      <c r="D50" s="12" t="s">
        <v>61</v>
      </c>
      <c r="E50" s="12" t="s">
        <v>50</v>
      </c>
      <c r="F50" s="12" t="s">
        <v>62</v>
      </c>
      <c r="G50" s="12" t="s">
        <v>63</v>
      </c>
      <c r="H50" s="12" t="s">
        <v>58</v>
      </c>
      <c r="I50" s="12" t="s">
        <v>37</v>
      </c>
      <c r="J50" s="12">
        <v>1.089</v>
      </c>
      <c r="K50" s="12" t="s">
        <v>64</v>
      </c>
      <c r="L50" s="12" t="s">
        <v>39</v>
      </c>
      <c r="M50" s="12" t="s">
        <v>78</v>
      </c>
      <c r="N50" s="12" t="s">
        <v>14</v>
      </c>
      <c r="O50" s="12" t="s">
        <v>6</v>
      </c>
      <c r="P50" s="12">
        <v>0</v>
      </c>
      <c r="Q50" s="12">
        <v>2</v>
      </c>
      <c r="R50" s="12" t="s">
        <v>11</v>
      </c>
      <c r="S50" s="14">
        <v>0.291666666666667</v>
      </c>
      <c r="T50" s="12" t="s">
        <v>41</v>
      </c>
      <c r="U50" s="12">
        <v>266</v>
      </c>
    </row>
    <row r="51" spans="1:21">
      <c r="A51" s="13">
        <v>45931</v>
      </c>
      <c r="B51" s="12">
        <v>123826308</v>
      </c>
      <c r="C51" s="12">
        <v>1997</v>
      </c>
      <c r="D51" s="12" t="s">
        <v>83</v>
      </c>
      <c r="E51" s="12" t="s">
        <v>50</v>
      </c>
      <c r="F51" s="12" t="s">
        <v>62</v>
      </c>
      <c r="G51" s="12" t="s">
        <v>63</v>
      </c>
      <c r="H51" s="12" t="s">
        <v>58</v>
      </c>
      <c r="I51" s="12" t="s">
        <v>45</v>
      </c>
      <c r="J51" s="12">
        <v>1.052</v>
      </c>
      <c r="K51" s="12" t="s">
        <v>64</v>
      </c>
      <c r="L51" s="12" t="s">
        <v>39</v>
      </c>
      <c r="M51" s="12" t="s">
        <v>40</v>
      </c>
      <c r="N51" s="12" t="s">
        <v>14</v>
      </c>
      <c r="O51" s="12" t="s">
        <v>5</v>
      </c>
      <c r="P51" s="12">
        <v>4</v>
      </c>
      <c r="Q51" s="12">
        <v>2</v>
      </c>
      <c r="R51" s="12" t="s">
        <v>13</v>
      </c>
      <c r="S51" s="14">
        <v>0.834722222222222</v>
      </c>
      <c r="T51" s="12" t="s">
        <v>67</v>
      </c>
      <c r="U51" s="12">
        <v>76346</v>
      </c>
    </row>
    <row r="52" spans="1:21">
      <c r="A52" s="13">
        <v>45931</v>
      </c>
      <c r="B52" s="12">
        <v>123892886</v>
      </c>
      <c r="C52" s="12">
        <v>1984</v>
      </c>
      <c r="D52" s="12" t="s">
        <v>49</v>
      </c>
      <c r="E52" s="12" t="s">
        <v>50</v>
      </c>
      <c r="F52" s="12" t="s">
        <v>91</v>
      </c>
      <c r="G52" s="12" t="s">
        <v>92</v>
      </c>
      <c r="H52" s="12" t="s">
        <v>58</v>
      </c>
      <c r="I52" s="12" t="s">
        <v>37</v>
      </c>
      <c r="J52" s="12">
        <v>1.132</v>
      </c>
      <c r="K52" s="12" t="s">
        <v>93</v>
      </c>
      <c r="L52" s="12" t="s">
        <v>65</v>
      </c>
      <c r="M52" s="12" t="s">
        <v>66</v>
      </c>
      <c r="N52" s="12" t="s">
        <v>14</v>
      </c>
      <c r="O52" s="12" t="s">
        <v>5</v>
      </c>
      <c r="P52" s="12">
        <v>4</v>
      </c>
      <c r="Q52" s="12">
        <v>1</v>
      </c>
      <c r="R52" s="12" t="s">
        <v>11</v>
      </c>
      <c r="S52" s="14">
        <v>0.684722222222222</v>
      </c>
      <c r="T52" s="12" t="s">
        <v>67</v>
      </c>
      <c r="U52" s="12">
        <v>38591</v>
      </c>
    </row>
    <row r="53" spans="1:21">
      <c r="A53" s="13">
        <v>45717</v>
      </c>
      <c r="B53" s="12">
        <v>123670134</v>
      </c>
      <c r="C53" s="12">
        <v>1963</v>
      </c>
      <c r="D53" s="12" t="s">
        <v>61</v>
      </c>
      <c r="E53" s="12" t="s">
        <v>50</v>
      </c>
      <c r="F53" s="12" t="s">
        <v>75</v>
      </c>
      <c r="G53" s="12" t="s">
        <v>76</v>
      </c>
      <c r="H53" s="12" t="s">
        <v>53</v>
      </c>
      <c r="I53" s="12" t="s">
        <v>45</v>
      </c>
      <c r="J53" s="12">
        <v>0.952</v>
      </c>
      <c r="K53" s="12" t="s">
        <v>77</v>
      </c>
      <c r="L53" s="12" t="s">
        <v>72</v>
      </c>
      <c r="M53" s="12" t="s">
        <v>73</v>
      </c>
      <c r="N53" s="12" t="s">
        <v>14</v>
      </c>
      <c r="O53" s="12" t="s">
        <v>6</v>
      </c>
      <c r="P53" s="12">
        <v>0</v>
      </c>
      <c r="Q53" s="12">
        <v>2</v>
      </c>
      <c r="R53" s="12" t="s">
        <v>11</v>
      </c>
      <c r="S53" s="12" t="s">
        <v>48</v>
      </c>
      <c r="T53" s="12" t="s">
        <v>48</v>
      </c>
      <c r="U53" s="12">
        <v>601</v>
      </c>
    </row>
    <row r="54" spans="1:21">
      <c r="A54" s="13">
        <v>45778</v>
      </c>
      <c r="B54" s="12">
        <v>123906549</v>
      </c>
      <c r="C54" s="12">
        <v>1960</v>
      </c>
      <c r="D54" s="12" t="s">
        <v>94</v>
      </c>
      <c r="E54" s="12" t="s">
        <v>50</v>
      </c>
      <c r="F54" s="12" t="s">
        <v>43</v>
      </c>
      <c r="G54" s="12" t="s">
        <v>44</v>
      </c>
      <c r="H54" s="12" t="s">
        <v>36</v>
      </c>
      <c r="I54" s="12" t="s">
        <v>45</v>
      </c>
      <c r="J54" s="12">
        <v>1.035</v>
      </c>
      <c r="K54" s="12" t="s">
        <v>46</v>
      </c>
      <c r="L54" s="12" t="s">
        <v>72</v>
      </c>
      <c r="M54" s="12" t="s">
        <v>95</v>
      </c>
      <c r="N54" s="12" t="s">
        <v>14</v>
      </c>
      <c r="O54" s="12" t="s">
        <v>6</v>
      </c>
      <c r="P54" s="12">
        <v>0</v>
      </c>
      <c r="Q54" s="12">
        <v>3</v>
      </c>
      <c r="R54" s="12" t="s">
        <v>11</v>
      </c>
      <c r="S54" s="12" t="s">
        <v>48</v>
      </c>
      <c r="T54" s="12" t="s">
        <v>48</v>
      </c>
      <c r="U54" s="12">
        <v>2134</v>
      </c>
    </row>
    <row r="55" spans="1:21">
      <c r="A55" s="13">
        <v>45809</v>
      </c>
      <c r="B55" s="12">
        <v>123628986</v>
      </c>
      <c r="C55" s="12">
        <v>2004</v>
      </c>
      <c r="D55" s="12" t="s">
        <v>32</v>
      </c>
      <c r="E55" s="12" t="s">
        <v>50</v>
      </c>
      <c r="F55" s="12" t="s">
        <v>51</v>
      </c>
      <c r="G55" s="12" t="s">
        <v>52</v>
      </c>
      <c r="H55" s="12" t="s">
        <v>53</v>
      </c>
      <c r="I55" s="12" t="s">
        <v>45</v>
      </c>
      <c r="J55" s="12">
        <v>1.261</v>
      </c>
      <c r="K55" s="12" t="s">
        <v>54</v>
      </c>
      <c r="L55" s="12" t="s">
        <v>60</v>
      </c>
      <c r="M55" s="12" t="s">
        <v>48</v>
      </c>
      <c r="N55" s="12" t="s">
        <v>12</v>
      </c>
      <c r="O55" s="12" t="s">
        <v>6</v>
      </c>
      <c r="P55" s="12">
        <v>0</v>
      </c>
      <c r="Q55" s="12">
        <v>2</v>
      </c>
      <c r="R55" s="12" t="s">
        <v>13</v>
      </c>
      <c r="S55" s="12" t="s">
        <v>48</v>
      </c>
      <c r="T55" s="12" t="s">
        <v>48</v>
      </c>
      <c r="U55" s="12">
        <v>1149</v>
      </c>
    </row>
    <row r="56" spans="1:21">
      <c r="A56" s="13">
        <v>45809</v>
      </c>
      <c r="B56" s="12">
        <v>123991524</v>
      </c>
      <c r="C56" s="12">
        <v>1979</v>
      </c>
      <c r="D56" s="12" t="s">
        <v>83</v>
      </c>
      <c r="E56" s="12" t="s">
        <v>50</v>
      </c>
      <c r="F56" s="12" t="s">
        <v>62</v>
      </c>
      <c r="G56" s="12" t="s">
        <v>63</v>
      </c>
      <c r="H56" s="12" t="s">
        <v>58</v>
      </c>
      <c r="I56" s="12" t="s">
        <v>45</v>
      </c>
      <c r="J56" s="12">
        <v>0.972</v>
      </c>
      <c r="K56" s="12" t="s">
        <v>64</v>
      </c>
      <c r="L56" s="12" t="s">
        <v>65</v>
      </c>
      <c r="M56" s="12" t="s">
        <v>66</v>
      </c>
      <c r="N56" s="12" t="s">
        <v>14</v>
      </c>
      <c r="O56" s="12" t="s">
        <v>6</v>
      </c>
      <c r="P56" s="12">
        <v>0</v>
      </c>
      <c r="Q56" s="12">
        <v>2</v>
      </c>
      <c r="R56" s="12" t="s">
        <v>11</v>
      </c>
      <c r="S56" s="12" t="s">
        <v>48</v>
      </c>
      <c r="T56" s="12" t="s">
        <v>48</v>
      </c>
      <c r="U56" s="12">
        <v>1123</v>
      </c>
    </row>
    <row r="57" spans="1:21">
      <c r="A57" s="13">
        <v>45658</v>
      </c>
      <c r="B57" s="12">
        <v>123730461</v>
      </c>
      <c r="C57" s="12">
        <v>1957</v>
      </c>
      <c r="D57" s="12" t="s">
        <v>94</v>
      </c>
      <c r="E57" s="12" t="s">
        <v>33</v>
      </c>
      <c r="F57" s="12" t="s">
        <v>43</v>
      </c>
      <c r="G57" s="12" t="s">
        <v>44</v>
      </c>
      <c r="H57" s="12" t="s">
        <v>36</v>
      </c>
      <c r="I57" s="12" t="s">
        <v>45</v>
      </c>
      <c r="J57" s="12">
        <v>1.244</v>
      </c>
      <c r="K57" s="12" t="s">
        <v>46</v>
      </c>
      <c r="L57" s="12" t="s">
        <v>39</v>
      </c>
      <c r="M57" s="12" t="s">
        <v>40</v>
      </c>
      <c r="N57" s="12" t="s">
        <v>14</v>
      </c>
      <c r="O57" s="12" t="s">
        <v>5</v>
      </c>
      <c r="P57" s="12">
        <v>3</v>
      </c>
      <c r="Q57" s="12">
        <v>2</v>
      </c>
      <c r="R57" s="12" t="s">
        <v>13</v>
      </c>
      <c r="S57" s="14">
        <v>0.570833333333333</v>
      </c>
      <c r="T57" s="12" t="s">
        <v>67</v>
      </c>
      <c r="U57" s="12">
        <v>88955</v>
      </c>
    </row>
    <row r="58" spans="1:21">
      <c r="A58" s="13">
        <v>45839</v>
      </c>
      <c r="B58" s="12">
        <v>123856390</v>
      </c>
      <c r="C58" s="12">
        <v>1974</v>
      </c>
      <c r="D58" s="12" t="s">
        <v>49</v>
      </c>
      <c r="E58" s="12" t="s">
        <v>33</v>
      </c>
      <c r="F58" s="12" t="s">
        <v>34</v>
      </c>
      <c r="G58" s="12" t="s">
        <v>35</v>
      </c>
      <c r="H58" s="12" t="s">
        <v>36</v>
      </c>
      <c r="I58" s="12" t="s">
        <v>45</v>
      </c>
      <c r="J58" s="12">
        <v>1.004</v>
      </c>
      <c r="K58" s="12" t="s">
        <v>38</v>
      </c>
      <c r="L58" s="12" t="s">
        <v>84</v>
      </c>
      <c r="M58" s="12" t="s">
        <v>89</v>
      </c>
      <c r="N58" s="12" t="s">
        <v>14</v>
      </c>
      <c r="O58" s="12" t="s">
        <v>6</v>
      </c>
      <c r="P58" s="12">
        <v>0</v>
      </c>
      <c r="Q58" s="12">
        <v>2</v>
      </c>
      <c r="R58" s="12" t="s">
        <v>11</v>
      </c>
      <c r="S58" s="12" t="s">
        <v>48</v>
      </c>
      <c r="T58" s="12" t="s">
        <v>48</v>
      </c>
      <c r="U58" s="12">
        <v>1779</v>
      </c>
    </row>
    <row r="59" spans="1:21">
      <c r="A59" s="13">
        <v>45689</v>
      </c>
      <c r="B59" s="12">
        <v>123932001</v>
      </c>
      <c r="C59" s="12">
        <v>1999</v>
      </c>
      <c r="D59" s="12" t="s">
        <v>94</v>
      </c>
      <c r="E59" s="12" t="s">
        <v>50</v>
      </c>
      <c r="F59" s="12" t="s">
        <v>62</v>
      </c>
      <c r="G59" s="12" t="s">
        <v>63</v>
      </c>
      <c r="H59" s="12" t="s">
        <v>58</v>
      </c>
      <c r="I59" s="12" t="s">
        <v>45</v>
      </c>
      <c r="J59" s="12">
        <v>1.112</v>
      </c>
      <c r="K59" s="12" t="s">
        <v>64</v>
      </c>
      <c r="L59" s="12" t="s">
        <v>65</v>
      </c>
      <c r="M59" s="12" t="s">
        <v>96</v>
      </c>
      <c r="N59" s="12" t="s">
        <v>14</v>
      </c>
      <c r="O59" s="12" t="s">
        <v>4</v>
      </c>
      <c r="P59" s="12">
        <v>1</v>
      </c>
      <c r="Q59" s="12">
        <v>2</v>
      </c>
      <c r="R59" s="12" t="s">
        <v>13</v>
      </c>
      <c r="S59" s="14">
        <v>0.514583333333333</v>
      </c>
      <c r="T59" s="12" t="s">
        <v>67</v>
      </c>
      <c r="U59" s="12">
        <v>6029</v>
      </c>
    </row>
    <row r="60" spans="1:21">
      <c r="A60" s="13">
        <v>45901</v>
      </c>
      <c r="B60" s="12">
        <v>123887201</v>
      </c>
      <c r="C60" s="12">
        <v>1990</v>
      </c>
      <c r="D60" s="12" t="s">
        <v>61</v>
      </c>
      <c r="E60" s="12" t="s">
        <v>33</v>
      </c>
      <c r="F60" s="12" t="s">
        <v>80</v>
      </c>
      <c r="G60" s="12" t="s">
        <v>81</v>
      </c>
      <c r="H60" s="12" t="s">
        <v>36</v>
      </c>
      <c r="I60" s="12" t="s">
        <v>45</v>
      </c>
      <c r="J60" s="12">
        <v>1.127</v>
      </c>
      <c r="K60" s="12" t="s">
        <v>82</v>
      </c>
      <c r="L60" s="12" t="s">
        <v>72</v>
      </c>
      <c r="M60" s="12" t="s">
        <v>73</v>
      </c>
      <c r="N60" s="12" t="s">
        <v>14</v>
      </c>
      <c r="O60" s="12" t="s">
        <v>5</v>
      </c>
      <c r="P60" s="12">
        <v>4</v>
      </c>
      <c r="Q60" s="12">
        <v>2</v>
      </c>
      <c r="R60" s="12" t="s">
        <v>13</v>
      </c>
      <c r="S60" s="14">
        <v>0.311805555555556</v>
      </c>
      <c r="T60" s="12" t="s">
        <v>41</v>
      </c>
      <c r="U60" s="12">
        <v>105209</v>
      </c>
    </row>
    <row r="61" spans="1:21">
      <c r="A61" s="13">
        <v>45901</v>
      </c>
      <c r="B61" s="12">
        <v>123919014</v>
      </c>
      <c r="C61" s="12">
        <v>1990</v>
      </c>
      <c r="D61" s="12" t="s">
        <v>61</v>
      </c>
      <c r="E61" s="12" t="s">
        <v>33</v>
      </c>
      <c r="F61" s="12" t="s">
        <v>34</v>
      </c>
      <c r="G61" s="12" t="s">
        <v>35</v>
      </c>
      <c r="H61" s="12" t="s">
        <v>36</v>
      </c>
      <c r="I61" s="12" t="s">
        <v>45</v>
      </c>
      <c r="J61" s="12">
        <v>1.195</v>
      </c>
      <c r="K61" s="12" t="s">
        <v>38</v>
      </c>
      <c r="L61" s="12" t="s">
        <v>99</v>
      </c>
      <c r="M61" s="12" t="s">
        <v>48</v>
      </c>
      <c r="N61" s="12" t="s">
        <v>12</v>
      </c>
      <c r="O61" s="12" t="s">
        <v>6</v>
      </c>
      <c r="P61" s="12">
        <v>0</v>
      </c>
      <c r="Q61" s="12">
        <v>3</v>
      </c>
      <c r="R61" s="12" t="s">
        <v>13</v>
      </c>
      <c r="S61" s="14">
        <v>0.784027777777778</v>
      </c>
      <c r="T61" s="12" t="s">
        <v>67</v>
      </c>
      <c r="U61" s="12">
        <v>2624</v>
      </c>
    </row>
    <row r="62" spans="1:21">
      <c r="A62" s="13">
        <v>45992</v>
      </c>
      <c r="B62" s="12">
        <v>123747862</v>
      </c>
      <c r="C62" s="12">
        <v>1969</v>
      </c>
      <c r="D62" s="12" t="s">
        <v>49</v>
      </c>
      <c r="E62" s="12" t="s">
        <v>33</v>
      </c>
      <c r="F62" s="12" t="s">
        <v>91</v>
      </c>
      <c r="G62" s="12" t="s">
        <v>92</v>
      </c>
      <c r="H62" s="12" t="s">
        <v>58</v>
      </c>
      <c r="I62" s="12" t="s">
        <v>45</v>
      </c>
      <c r="J62" s="12">
        <v>0.981</v>
      </c>
      <c r="K62" s="12" t="s">
        <v>93</v>
      </c>
      <c r="L62" s="12" t="s">
        <v>84</v>
      </c>
      <c r="M62" s="12" t="s">
        <v>85</v>
      </c>
      <c r="N62" s="12" t="s">
        <v>14</v>
      </c>
      <c r="O62" s="12" t="s">
        <v>5</v>
      </c>
      <c r="P62" s="12">
        <v>2</v>
      </c>
      <c r="Q62" s="12">
        <v>2</v>
      </c>
      <c r="R62" s="12" t="s">
        <v>11</v>
      </c>
      <c r="S62" s="14">
        <v>0.734722222222222</v>
      </c>
      <c r="T62" s="12" t="s">
        <v>67</v>
      </c>
      <c r="U62" s="12">
        <v>96767</v>
      </c>
    </row>
    <row r="63" spans="1:21">
      <c r="A63" s="13">
        <v>45901</v>
      </c>
      <c r="B63" s="12">
        <v>123479650</v>
      </c>
      <c r="C63" s="12">
        <v>1963</v>
      </c>
      <c r="D63" s="12" t="s">
        <v>83</v>
      </c>
      <c r="E63" s="12" t="s">
        <v>33</v>
      </c>
      <c r="F63" s="12" t="s">
        <v>43</v>
      </c>
      <c r="G63" s="12" t="s">
        <v>44</v>
      </c>
      <c r="H63" s="12" t="s">
        <v>36</v>
      </c>
      <c r="I63" s="12" t="s">
        <v>45</v>
      </c>
      <c r="J63" s="12">
        <v>0.932</v>
      </c>
      <c r="K63" s="12" t="s">
        <v>46</v>
      </c>
      <c r="L63" s="12" t="s">
        <v>39</v>
      </c>
      <c r="M63" s="12" t="s">
        <v>40</v>
      </c>
      <c r="N63" s="12" t="s">
        <v>14</v>
      </c>
      <c r="O63" s="12" t="s">
        <v>6</v>
      </c>
      <c r="P63" s="12">
        <v>0</v>
      </c>
      <c r="Q63" s="12">
        <v>1</v>
      </c>
      <c r="R63" s="12" t="s">
        <v>13</v>
      </c>
      <c r="S63" s="12" t="s">
        <v>48</v>
      </c>
      <c r="T63" s="12" t="s">
        <v>48</v>
      </c>
      <c r="U63" s="12">
        <v>2148</v>
      </c>
    </row>
    <row r="64" spans="1:21">
      <c r="A64" s="13">
        <v>45778</v>
      </c>
      <c r="B64" s="12">
        <v>123724236</v>
      </c>
      <c r="C64" s="12">
        <v>1983</v>
      </c>
      <c r="D64" s="12" t="s">
        <v>68</v>
      </c>
      <c r="E64" s="12" t="s">
        <v>33</v>
      </c>
      <c r="F64" s="12" t="s">
        <v>43</v>
      </c>
      <c r="G64" s="12" t="s">
        <v>44</v>
      </c>
      <c r="H64" s="12" t="s">
        <v>36</v>
      </c>
      <c r="I64" s="12" t="s">
        <v>45</v>
      </c>
      <c r="J64" s="12">
        <v>0.936</v>
      </c>
      <c r="K64" s="12" t="s">
        <v>46</v>
      </c>
      <c r="L64" s="12" t="s">
        <v>39</v>
      </c>
      <c r="M64" s="12" t="s">
        <v>78</v>
      </c>
      <c r="N64" s="12" t="s">
        <v>14</v>
      </c>
      <c r="O64" s="12" t="s">
        <v>4</v>
      </c>
      <c r="P64" s="12">
        <v>1</v>
      </c>
      <c r="Q64" s="12">
        <v>2</v>
      </c>
      <c r="R64" s="12" t="s">
        <v>11</v>
      </c>
      <c r="S64" s="14">
        <v>0.874305555555556</v>
      </c>
      <c r="T64" s="12" t="s">
        <v>67</v>
      </c>
      <c r="U64" s="12">
        <v>6381</v>
      </c>
    </row>
    <row r="65" spans="1:21">
      <c r="A65" s="13">
        <v>45992</v>
      </c>
      <c r="B65" s="12">
        <v>123554734</v>
      </c>
      <c r="C65" s="12">
        <v>1998</v>
      </c>
      <c r="D65" s="12" t="s">
        <v>61</v>
      </c>
      <c r="E65" s="12" t="s">
        <v>33</v>
      </c>
      <c r="F65" s="12" t="s">
        <v>75</v>
      </c>
      <c r="G65" s="12" t="s">
        <v>76</v>
      </c>
      <c r="H65" s="12" t="s">
        <v>53</v>
      </c>
      <c r="I65" s="12" t="s">
        <v>37</v>
      </c>
      <c r="J65" s="12">
        <v>0.97</v>
      </c>
      <c r="K65" s="12" t="s">
        <v>77</v>
      </c>
      <c r="L65" s="12" t="s">
        <v>65</v>
      </c>
      <c r="M65" s="12" t="s">
        <v>96</v>
      </c>
      <c r="N65" s="12" t="s">
        <v>14</v>
      </c>
      <c r="O65" s="12" t="s">
        <v>6</v>
      </c>
      <c r="P65" s="12">
        <v>0</v>
      </c>
      <c r="Q65" s="12">
        <v>1</v>
      </c>
      <c r="R65" s="12" t="s">
        <v>11</v>
      </c>
      <c r="S65" s="12" t="s">
        <v>48</v>
      </c>
      <c r="T65" s="12" t="s">
        <v>48</v>
      </c>
      <c r="U65" s="12">
        <v>296</v>
      </c>
    </row>
    <row r="66" spans="1:21">
      <c r="A66" s="13">
        <v>45778</v>
      </c>
      <c r="B66" s="12">
        <v>123939678</v>
      </c>
      <c r="C66" s="12">
        <v>1995</v>
      </c>
      <c r="D66" s="12" t="s">
        <v>42</v>
      </c>
      <c r="E66" s="12" t="s">
        <v>33</v>
      </c>
      <c r="F66" s="12" t="s">
        <v>91</v>
      </c>
      <c r="G66" s="12" t="s">
        <v>92</v>
      </c>
      <c r="H66" s="12" t="s">
        <v>58</v>
      </c>
      <c r="I66" s="12" t="s">
        <v>45</v>
      </c>
      <c r="J66" s="12">
        <v>0.938</v>
      </c>
      <c r="K66" s="12" t="s">
        <v>93</v>
      </c>
      <c r="L66" s="12" t="s">
        <v>99</v>
      </c>
      <c r="M66" s="12" t="s">
        <v>48</v>
      </c>
      <c r="N66" s="12" t="s">
        <v>12</v>
      </c>
      <c r="O66" s="12" t="s">
        <v>4</v>
      </c>
      <c r="P66" s="12">
        <v>1</v>
      </c>
      <c r="Q66" s="12">
        <v>1</v>
      </c>
      <c r="R66" s="12" t="s">
        <v>11</v>
      </c>
      <c r="S66" s="14">
        <v>0.736805555555556</v>
      </c>
      <c r="T66" s="12" t="s">
        <v>67</v>
      </c>
      <c r="U66" s="12">
        <v>3345</v>
      </c>
    </row>
    <row r="67" spans="1:21">
      <c r="A67" s="13">
        <v>45748</v>
      </c>
      <c r="B67" s="12">
        <v>123584788</v>
      </c>
      <c r="C67" s="12">
        <v>1993</v>
      </c>
      <c r="D67" s="12" t="s">
        <v>49</v>
      </c>
      <c r="E67" s="12" t="s">
        <v>50</v>
      </c>
      <c r="F67" s="12" t="s">
        <v>80</v>
      </c>
      <c r="G67" s="12" t="s">
        <v>81</v>
      </c>
      <c r="H67" s="12" t="s">
        <v>36</v>
      </c>
      <c r="I67" s="12" t="s">
        <v>45</v>
      </c>
      <c r="J67" s="12">
        <v>1.151</v>
      </c>
      <c r="K67" s="12" t="s">
        <v>82</v>
      </c>
      <c r="L67" s="12" t="s">
        <v>39</v>
      </c>
      <c r="M67" s="12" t="s">
        <v>78</v>
      </c>
      <c r="N67" s="12" t="s">
        <v>14</v>
      </c>
      <c r="O67" s="12" t="s">
        <v>5</v>
      </c>
      <c r="P67" s="12">
        <v>5</v>
      </c>
      <c r="Q67" s="12">
        <v>1</v>
      </c>
      <c r="R67" s="12" t="s">
        <v>13</v>
      </c>
      <c r="S67" s="14">
        <v>0.8875</v>
      </c>
      <c r="T67" s="12" t="s">
        <v>67</v>
      </c>
      <c r="U67" s="12">
        <v>61857</v>
      </c>
    </row>
    <row r="68" spans="1:21">
      <c r="A68" s="13">
        <v>45962</v>
      </c>
      <c r="B68" s="12">
        <v>123580069</v>
      </c>
      <c r="C68" s="12">
        <v>1998</v>
      </c>
      <c r="D68" s="12" t="s">
        <v>68</v>
      </c>
      <c r="E68" s="12" t="s">
        <v>50</v>
      </c>
      <c r="F68" s="12" t="s">
        <v>34</v>
      </c>
      <c r="G68" s="12" t="s">
        <v>35</v>
      </c>
      <c r="H68" s="12" t="s">
        <v>36</v>
      </c>
      <c r="I68" s="12" t="s">
        <v>45</v>
      </c>
      <c r="J68" s="12">
        <v>1.25</v>
      </c>
      <c r="K68" s="12" t="s">
        <v>38</v>
      </c>
      <c r="L68" s="12" t="s">
        <v>39</v>
      </c>
      <c r="M68" s="12" t="s">
        <v>47</v>
      </c>
      <c r="N68" s="12" t="s">
        <v>14</v>
      </c>
      <c r="O68" s="12" t="s">
        <v>5</v>
      </c>
      <c r="P68" s="12">
        <v>3</v>
      </c>
      <c r="Q68" s="12">
        <v>2</v>
      </c>
      <c r="R68" s="12" t="s">
        <v>13</v>
      </c>
      <c r="S68" s="12" t="s">
        <v>48</v>
      </c>
      <c r="T68" s="12" t="s">
        <v>48</v>
      </c>
      <c r="U68" s="12">
        <v>95023</v>
      </c>
    </row>
    <row r="69" spans="1:21">
      <c r="A69" s="13">
        <v>45778</v>
      </c>
      <c r="B69" s="12">
        <v>123591666</v>
      </c>
      <c r="C69" s="12">
        <v>1970</v>
      </c>
      <c r="D69" s="12" t="s">
        <v>49</v>
      </c>
      <c r="E69" s="12" t="s">
        <v>50</v>
      </c>
      <c r="F69" s="12" t="s">
        <v>34</v>
      </c>
      <c r="G69" s="12" t="s">
        <v>35</v>
      </c>
      <c r="H69" s="12" t="s">
        <v>36</v>
      </c>
      <c r="I69" s="12" t="s">
        <v>45</v>
      </c>
      <c r="J69" s="12">
        <v>0.862</v>
      </c>
      <c r="K69" s="12" t="s">
        <v>38</v>
      </c>
      <c r="L69" s="12" t="s">
        <v>65</v>
      </c>
      <c r="M69" s="12" t="s">
        <v>66</v>
      </c>
      <c r="N69" s="12" t="s">
        <v>14</v>
      </c>
      <c r="O69" s="12" t="s">
        <v>6</v>
      </c>
      <c r="P69" s="12">
        <v>0</v>
      </c>
      <c r="Q69" s="12">
        <v>1</v>
      </c>
      <c r="R69" s="12" t="s">
        <v>11</v>
      </c>
      <c r="S69" s="12" t="s">
        <v>48</v>
      </c>
      <c r="T69" s="12" t="s">
        <v>48</v>
      </c>
      <c r="U69" s="12">
        <v>1052</v>
      </c>
    </row>
    <row r="70" spans="1:21">
      <c r="A70" s="13">
        <v>45658</v>
      </c>
      <c r="B70" s="12">
        <v>123805555</v>
      </c>
      <c r="C70" s="12">
        <v>1988</v>
      </c>
      <c r="D70" s="12" t="s">
        <v>83</v>
      </c>
      <c r="E70" s="12" t="s">
        <v>50</v>
      </c>
      <c r="F70" s="12" t="s">
        <v>43</v>
      </c>
      <c r="G70" s="12" t="s">
        <v>44</v>
      </c>
      <c r="H70" s="12" t="s">
        <v>36</v>
      </c>
      <c r="I70" s="12" t="s">
        <v>45</v>
      </c>
      <c r="J70" s="12">
        <v>1.007</v>
      </c>
      <c r="K70" s="12" t="s">
        <v>46</v>
      </c>
      <c r="L70" s="12" t="s">
        <v>39</v>
      </c>
      <c r="M70" s="12" t="s">
        <v>40</v>
      </c>
      <c r="N70" s="12" t="s">
        <v>14</v>
      </c>
      <c r="O70" s="12" t="s">
        <v>5</v>
      </c>
      <c r="P70" s="12">
        <v>3</v>
      </c>
      <c r="Q70" s="12">
        <v>1</v>
      </c>
      <c r="R70" s="12" t="s">
        <v>13</v>
      </c>
      <c r="S70" s="14">
        <v>0.840972222222222</v>
      </c>
      <c r="T70" s="12" t="s">
        <v>67</v>
      </c>
      <c r="U70" s="12">
        <v>31904</v>
      </c>
    </row>
    <row r="71" spans="1:21">
      <c r="A71" s="13">
        <v>45809</v>
      </c>
      <c r="B71" s="12">
        <v>123766749</v>
      </c>
      <c r="C71" s="12">
        <v>1990</v>
      </c>
      <c r="D71" s="12" t="s">
        <v>68</v>
      </c>
      <c r="E71" s="12" t="s">
        <v>50</v>
      </c>
      <c r="F71" s="12" t="s">
        <v>51</v>
      </c>
      <c r="G71" s="12" t="s">
        <v>52</v>
      </c>
      <c r="H71" s="12" t="s">
        <v>53</v>
      </c>
      <c r="I71" s="12" t="s">
        <v>45</v>
      </c>
      <c r="J71" s="12">
        <v>0.856</v>
      </c>
      <c r="K71" s="12" t="s">
        <v>54</v>
      </c>
      <c r="L71" s="12" t="s">
        <v>39</v>
      </c>
      <c r="M71" s="12" t="s">
        <v>78</v>
      </c>
      <c r="N71" s="12" t="s">
        <v>14</v>
      </c>
      <c r="O71" s="12" t="s">
        <v>6</v>
      </c>
      <c r="P71" s="12">
        <v>0</v>
      </c>
      <c r="Q71" s="12">
        <v>2</v>
      </c>
      <c r="R71" s="12" t="s">
        <v>11</v>
      </c>
      <c r="S71" s="12" t="s">
        <v>48</v>
      </c>
      <c r="T71" s="12" t="s">
        <v>48</v>
      </c>
      <c r="U71" s="12">
        <v>1428</v>
      </c>
    </row>
    <row r="72" spans="1:21">
      <c r="A72" s="13">
        <v>45931</v>
      </c>
      <c r="B72" s="12">
        <v>123972168</v>
      </c>
      <c r="C72" s="12">
        <v>1984</v>
      </c>
      <c r="D72" s="12" t="s">
        <v>32</v>
      </c>
      <c r="E72" s="12" t="s">
        <v>50</v>
      </c>
      <c r="F72" s="12" t="s">
        <v>34</v>
      </c>
      <c r="G72" s="12" t="s">
        <v>35</v>
      </c>
      <c r="H72" s="12" t="s">
        <v>36</v>
      </c>
      <c r="I72" s="12" t="s">
        <v>45</v>
      </c>
      <c r="J72" s="12">
        <v>1.283</v>
      </c>
      <c r="K72" s="12" t="s">
        <v>38</v>
      </c>
      <c r="L72" s="12" t="s">
        <v>60</v>
      </c>
      <c r="M72" s="12" t="s">
        <v>48</v>
      </c>
      <c r="N72" s="12" t="s">
        <v>12</v>
      </c>
      <c r="O72" s="12" t="s">
        <v>5</v>
      </c>
      <c r="P72" s="12">
        <v>3</v>
      </c>
      <c r="Q72" s="12">
        <v>1</v>
      </c>
      <c r="R72" s="12" t="s">
        <v>13</v>
      </c>
      <c r="S72" s="14">
        <v>0.301388888888889</v>
      </c>
      <c r="T72" s="12" t="s">
        <v>41</v>
      </c>
      <c r="U72" s="12">
        <v>71515</v>
      </c>
    </row>
    <row r="73" spans="1:21">
      <c r="A73" s="13">
        <v>45717</v>
      </c>
      <c r="B73" s="12">
        <v>123682446</v>
      </c>
      <c r="C73" s="12">
        <v>1996</v>
      </c>
      <c r="D73" s="12" t="s">
        <v>42</v>
      </c>
      <c r="E73" s="12" t="s">
        <v>50</v>
      </c>
      <c r="F73" s="12" t="s">
        <v>91</v>
      </c>
      <c r="G73" s="12" t="s">
        <v>92</v>
      </c>
      <c r="H73" s="12" t="s">
        <v>58</v>
      </c>
      <c r="I73" s="12" t="s">
        <v>37</v>
      </c>
      <c r="J73" s="12">
        <v>1.03</v>
      </c>
      <c r="K73" s="12" t="s">
        <v>93</v>
      </c>
      <c r="L73" s="12" t="s">
        <v>65</v>
      </c>
      <c r="M73" s="12" t="s">
        <v>66</v>
      </c>
      <c r="N73" s="12" t="s">
        <v>14</v>
      </c>
      <c r="O73" s="12" t="s">
        <v>6</v>
      </c>
      <c r="P73" s="12">
        <v>0</v>
      </c>
      <c r="Q73" s="12">
        <v>2</v>
      </c>
      <c r="R73" s="12" t="s">
        <v>11</v>
      </c>
      <c r="S73" s="12" t="s">
        <v>48</v>
      </c>
      <c r="T73" s="12" t="s">
        <v>48</v>
      </c>
      <c r="U73" s="12">
        <v>1055</v>
      </c>
    </row>
    <row r="74" spans="1:21">
      <c r="A74" s="13">
        <v>45809</v>
      </c>
      <c r="B74" s="12">
        <v>123609559</v>
      </c>
      <c r="C74" s="12">
        <v>1990</v>
      </c>
      <c r="D74" s="12" t="s">
        <v>83</v>
      </c>
      <c r="E74" s="12" t="s">
        <v>50</v>
      </c>
      <c r="F74" s="12" t="s">
        <v>43</v>
      </c>
      <c r="G74" s="12" t="s">
        <v>44</v>
      </c>
      <c r="H74" s="12" t="s">
        <v>36</v>
      </c>
      <c r="I74" s="12" t="s">
        <v>37</v>
      </c>
      <c r="J74" s="12">
        <v>1.158</v>
      </c>
      <c r="K74" s="12" t="s">
        <v>46</v>
      </c>
      <c r="L74" s="12" t="s">
        <v>60</v>
      </c>
      <c r="M74" s="12" t="s">
        <v>48</v>
      </c>
      <c r="N74" s="12" t="s">
        <v>12</v>
      </c>
      <c r="O74" s="12" t="s">
        <v>6</v>
      </c>
      <c r="P74" s="12">
        <v>0</v>
      </c>
      <c r="Q74" s="12">
        <v>3</v>
      </c>
      <c r="R74" s="12" t="s">
        <v>13</v>
      </c>
      <c r="S74" s="12" t="s">
        <v>48</v>
      </c>
      <c r="T74" s="12" t="s">
        <v>48</v>
      </c>
      <c r="U74" s="12">
        <v>468</v>
      </c>
    </row>
    <row r="75" spans="1:21">
      <c r="A75" s="13">
        <v>45689</v>
      </c>
      <c r="B75" s="12">
        <v>123482794</v>
      </c>
      <c r="C75" s="12">
        <v>1988</v>
      </c>
      <c r="D75" s="12" t="s">
        <v>32</v>
      </c>
      <c r="E75" s="12" t="s">
        <v>33</v>
      </c>
      <c r="F75" s="12" t="s">
        <v>56</v>
      </c>
      <c r="G75" s="12" t="s">
        <v>57</v>
      </c>
      <c r="H75" s="12" t="s">
        <v>58</v>
      </c>
      <c r="I75" s="12" t="s">
        <v>45</v>
      </c>
      <c r="J75" s="12">
        <v>0.866</v>
      </c>
      <c r="K75" s="12" t="s">
        <v>59</v>
      </c>
      <c r="L75" s="12" t="s">
        <v>84</v>
      </c>
      <c r="M75" s="12" t="s">
        <v>89</v>
      </c>
      <c r="N75" s="12" t="s">
        <v>14</v>
      </c>
      <c r="O75" s="12" t="s">
        <v>6</v>
      </c>
      <c r="P75" s="12">
        <v>0</v>
      </c>
      <c r="Q75" s="12">
        <v>2</v>
      </c>
      <c r="R75" s="12" t="s">
        <v>11</v>
      </c>
      <c r="S75" s="12" t="s">
        <v>48</v>
      </c>
      <c r="T75" s="12" t="s">
        <v>48</v>
      </c>
      <c r="U75" s="12">
        <v>905</v>
      </c>
    </row>
    <row r="76" spans="1:21">
      <c r="A76" s="13">
        <v>45901</v>
      </c>
      <c r="B76" s="12">
        <v>123459849</v>
      </c>
      <c r="C76" s="12">
        <v>1998</v>
      </c>
      <c r="D76" s="12" t="s">
        <v>83</v>
      </c>
      <c r="E76" s="12" t="s">
        <v>50</v>
      </c>
      <c r="F76" s="12" t="s">
        <v>91</v>
      </c>
      <c r="G76" s="12" t="s">
        <v>92</v>
      </c>
      <c r="H76" s="12" t="s">
        <v>58</v>
      </c>
      <c r="I76" s="12" t="s">
        <v>37</v>
      </c>
      <c r="J76" s="12">
        <v>1.03</v>
      </c>
      <c r="K76" s="12" t="s">
        <v>93</v>
      </c>
      <c r="L76" s="12" t="s">
        <v>39</v>
      </c>
      <c r="M76" s="12" t="s">
        <v>78</v>
      </c>
      <c r="N76" s="12" t="s">
        <v>14</v>
      </c>
      <c r="O76" s="12" t="s">
        <v>6</v>
      </c>
      <c r="P76" s="12">
        <v>0</v>
      </c>
      <c r="Q76" s="12">
        <v>1</v>
      </c>
      <c r="R76" s="12" t="s">
        <v>13</v>
      </c>
      <c r="S76" s="12" t="s">
        <v>48</v>
      </c>
      <c r="T76" s="12" t="s">
        <v>48</v>
      </c>
      <c r="U76" s="12">
        <v>194</v>
      </c>
    </row>
    <row r="77" spans="1:21">
      <c r="A77" s="13">
        <v>45809</v>
      </c>
      <c r="B77" s="12">
        <v>123659245</v>
      </c>
      <c r="C77" s="12">
        <v>1990</v>
      </c>
      <c r="D77" s="12" t="s">
        <v>98</v>
      </c>
      <c r="E77" s="12" t="s">
        <v>50</v>
      </c>
      <c r="F77" s="12" t="s">
        <v>91</v>
      </c>
      <c r="G77" s="12" t="s">
        <v>92</v>
      </c>
      <c r="H77" s="12" t="s">
        <v>58</v>
      </c>
      <c r="I77" s="12" t="s">
        <v>37</v>
      </c>
      <c r="J77" s="12">
        <v>1.011</v>
      </c>
      <c r="K77" s="12" t="s">
        <v>93</v>
      </c>
      <c r="L77" s="12" t="s">
        <v>60</v>
      </c>
      <c r="M77" s="12" t="s">
        <v>48</v>
      </c>
      <c r="N77" s="12" t="s">
        <v>12</v>
      </c>
      <c r="O77" s="12" t="s">
        <v>6</v>
      </c>
      <c r="P77" s="12">
        <v>0</v>
      </c>
      <c r="Q77" s="12">
        <v>1</v>
      </c>
      <c r="R77" s="12" t="s">
        <v>11</v>
      </c>
      <c r="S77" s="12" t="s">
        <v>48</v>
      </c>
      <c r="T77" s="12" t="s">
        <v>48</v>
      </c>
      <c r="U77" s="12">
        <v>675</v>
      </c>
    </row>
    <row r="78" spans="1:21">
      <c r="A78" s="13">
        <v>45748</v>
      </c>
      <c r="B78" s="12">
        <v>123959643</v>
      </c>
      <c r="C78" s="12">
        <v>1992</v>
      </c>
      <c r="D78" s="12" t="s">
        <v>49</v>
      </c>
      <c r="E78" s="12" t="s">
        <v>33</v>
      </c>
      <c r="F78" s="12" t="s">
        <v>43</v>
      </c>
      <c r="G78" s="12" t="s">
        <v>44</v>
      </c>
      <c r="H78" s="12" t="s">
        <v>36</v>
      </c>
      <c r="I78" s="12" t="s">
        <v>45</v>
      </c>
      <c r="J78" s="12">
        <v>1.095</v>
      </c>
      <c r="K78" s="12" t="s">
        <v>46</v>
      </c>
      <c r="L78" s="12" t="s">
        <v>39</v>
      </c>
      <c r="M78" s="12" t="s">
        <v>78</v>
      </c>
      <c r="N78" s="12" t="s">
        <v>14</v>
      </c>
      <c r="O78" s="12" t="s">
        <v>5</v>
      </c>
      <c r="P78" s="12">
        <v>6</v>
      </c>
      <c r="Q78" s="12">
        <v>2</v>
      </c>
      <c r="R78" s="12" t="s">
        <v>13</v>
      </c>
      <c r="S78" s="14">
        <v>0.71875</v>
      </c>
      <c r="T78" s="12" t="s">
        <v>67</v>
      </c>
      <c r="U78" s="12">
        <v>96857</v>
      </c>
    </row>
    <row r="79" spans="1:21">
      <c r="A79" s="13">
        <v>45717</v>
      </c>
      <c r="B79" s="12">
        <v>123740921</v>
      </c>
      <c r="C79" s="12">
        <v>1991</v>
      </c>
      <c r="D79" s="12" t="s">
        <v>74</v>
      </c>
      <c r="E79" s="12" t="s">
        <v>33</v>
      </c>
      <c r="F79" s="12" t="s">
        <v>56</v>
      </c>
      <c r="G79" s="12" t="s">
        <v>57</v>
      </c>
      <c r="H79" s="12" t="s">
        <v>58</v>
      </c>
      <c r="I79" s="12" t="s">
        <v>45</v>
      </c>
      <c r="J79" s="12">
        <v>1.108</v>
      </c>
      <c r="K79" s="12" t="s">
        <v>59</v>
      </c>
      <c r="L79" s="12" t="s">
        <v>39</v>
      </c>
      <c r="M79" s="12" t="s">
        <v>40</v>
      </c>
      <c r="N79" s="12" t="s">
        <v>14</v>
      </c>
      <c r="O79" s="12" t="s">
        <v>6</v>
      </c>
      <c r="P79" s="12">
        <v>0</v>
      </c>
      <c r="Q79" s="12">
        <v>2</v>
      </c>
      <c r="R79" s="12" t="s">
        <v>11</v>
      </c>
      <c r="S79" s="14">
        <v>0.425694444444444</v>
      </c>
      <c r="T79" s="12" t="s">
        <v>41</v>
      </c>
      <c r="U79" s="12">
        <v>1154</v>
      </c>
    </row>
    <row r="80" spans="1:21">
      <c r="A80" s="13">
        <v>45839</v>
      </c>
      <c r="B80" s="12">
        <v>123942089</v>
      </c>
      <c r="C80" s="12">
        <v>1986</v>
      </c>
      <c r="D80" s="12" t="s">
        <v>83</v>
      </c>
      <c r="E80" s="12" t="s">
        <v>33</v>
      </c>
      <c r="F80" s="12" t="s">
        <v>34</v>
      </c>
      <c r="G80" s="12" t="s">
        <v>35</v>
      </c>
      <c r="H80" s="12" t="s">
        <v>36</v>
      </c>
      <c r="I80" s="12" t="s">
        <v>45</v>
      </c>
      <c r="J80" s="12">
        <v>1.241</v>
      </c>
      <c r="K80" s="12" t="s">
        <v>38</v>
      </c>
      <c r="L80" s="12" t="s">
        <v>60</v>
      </c>
      <c r="M80" s="12" t="s">
        <v>48</v>
      </c>
      <c r="N80" s="12" t="s">
        <v>12</v>
      </c>
      <c r="O80" s="12" t="s">
        <v>5</v>
      </c>
      <c r="P80" s="12">
        <v>5</v>
      </c>
      <c r="Q80" s="12">
        <v>1</v>
      </c>
      <c r="R80" s="12" t="s">
        <v>11</v>
      </c>
      <c r="S80" s="14">
        <v>0.779861111111111</v>
      </c>
      <c r="T80" s="12" t="s">
        <v>67</v>
      </c>
      <c r="U80" s="12">
        <v>48128</v>
      </c>
    </row>
    <row r="81" spans="1:21">
      <c r="A81" s="13">
        <v>45901</v>
      </c>
      <c r="B81" s="12">
        <v>123511309</v>
      </c>
      <c r="C81" s="12">
        <v>1983</v>
      </c>
      <c r="D81" s="12" t="s">
        <v>61</v>
      </c>
      <c r="E81" s="12" t="s">
        <v>33</v>
      </c>
      <c r="F81" s="12" t="s">
        <v>69</v>
      </c>
      <c r="G81" s="12" t="s">
        <v>70</v>
      </c>
      <c r="H81" s="12" t="s">
        <v>58</v>
      </c>
      <c r="I81" s="12" t="s">
        <v>45</v>
      </c>
      <c r="J81" s="12">
        <v>0.975</v>
      </c>
      <c r="K81" s="12" t="s">
        <v>71</v>
      </c>
      <c r="L81" s="12" t="s">
        <v>84</v>
      </c>
      <c r="M81" s="12" t="s">
        <v>85</v>
      </c>
      <c r="N81" s="12" t="s">
        <v>14</v>
      </c>
      <c r="O81" s="12" t="s">
        <v>6</v>
      </c>
      <c r="P81" s="12">
        <v>0</v>
      </c>
      <c r="Q81" s="12">
        <v>2</v>
      </c>
      <c r="R81" s="12" t="s">
        <v>13</v>
      </c>
      <c r="S81" s="12" t="s">
        <v>48</v>
      </c>
      <c r="T81" s="12" t="s">
        <v>48</v>
      </c>
      <c r="U81" s="12">
        <v>918</v>
      </c>
    </row>
    <row r="82" spans="1:21">
      <c r="A82" s="13">
        <v>45992</v>
      </c>
      <c r="B82" s="12">
        <v>123506766</v>
      </c>
      <c r="C82" s="12">
        <v>2001</v>
      </c>
      <c r="D82" s="12" t="s">
        <v>83</v>
      </c>
      <c r="E82" s="12" t="s">
        <v>33</v>
      </c>
      <c r="F82" s="12" t="s">
        <v>34</v>
      </c>
      <c r="G82" s="12" t="s">
        <v>35</v>
      </c>
      <c r="H82" s="12" t="s">
        <v>36</v>
      </c>
      <c r="I82" s="12" t="s">
        <v>45</v>
      </c>
      <c r="J82" s="12">
        <v>1.018</v>
      </c>
      <c r="K82" s="12" t="s">
        <v>38</v>
      </c>
      <c r="L82" s="12" t="s">
        <v>60</v>
      </c>
      <c r="M82" s="12" t="s">
        <v>48</v>
      </c>
      <c r="N82" s="12" t="s">
        <v>12</v>
      </c>
      <c r="O82" s="12" t="s">
        <v>5</v>
      </c>
      <c r="P82" s="12">
        <v>6</v>
      </c>
      <c r="Q82" s="12">
        <v>2</v>
      </c>
      <c r="R82" s="12" t="s">
        <v>13</v>
      </c>
      <c r="S82" s="14">
        <v>0.655555555555556</v>
      </c>
      <c r="T82" s="12" t="s">
        <v>67</v>
      </c>
      <c r="U82" s="12">
        <v>112466</v>
      </c>
    </row>
    <row r="83" spans="1:21">
      <c r="A83" s="13">
        <v>45809</v>
      </c>
      <c r="B83" s="12">
        <v>123909400</v>
      </c>
      <c r="C83" s="12">
        <v>1982</v>
      </c>
      <c r="D83" s="12" t="s">
        <v>83</v>
      </c>
      <c r="E83" s="12" t="s">
        <v>50</v>
      </c>
      <c r="F83" s="12" t="s">
        <v>56</v>
      </c>
      <c r="G83" s="12" t="s">
        <v>57</v>
      </c>
      <c r="H83" s="12" t="s">
        <v>58</v>
      </c>
      <c r="I83" s="12" t="s">
        <v>45</v>
      </c>
      <c r="J83" s="12">
        <v>0.992</v>
      </c>
      <c r="K83" s="12" t="s">
        <v>59</v>
      </c>
      <c r="L83" s="12" t="s">
        <v>39</v>
      </c>
      <c r="M83" s="12" t="s">
        <v>47</v>
      </c>
      <c r="N83" s="12" t="s">
        <v>14</v>
      </c>
      <c r="O83" s="12" t="s">
        <v>5</v>
      </c>
      <c r="P83" s="12">
        <v>5</v>
      </c>
      <c r="Q83" s="12">
        <v>1</v>
      </c>
      <c r="R83" s="12" t="s">
        <v>13</v>
      </c>
      <c r="S83" s="14">
        <v>0.543055555555556</v>
      </c>
      <c r="T83" s="12" t="s">
        <v>67</v>
      </c>
      <c r="U83" s="12">
        <v>69475</v>
      </c>
    </row>
    <row r="84" spans="1:21">
      <c r="A84" s="13">
        <v>45689</v>
      </c>
      <c r="B84" s="12">
        <v>123514067</v>
      </c>
      <c r="C84" s="12">
        <v>1962</v>
      </c>
      <c r="D84" s="12" t="s">
        <v>79</v>
      </c>
      <c r="E84" s="12" t="s">
        <v>50</v>
      </c>
      <c r="F84" s="12" t="s">
        <v>34</v>
      </c>
      <c r="G84" s="12" t="s">
        <v>35</v>
      </c>
      <c r="H84" s="12" t="s">
        <v>36</v>
      </c>
      <c r="I84" s="12" t="s">
        <v>45</v>
      </c>
      <c r="J84" s="12">
        <v>1.231</v>
      </c>
      <c r="K84" s="12" t="s">
        <v>38</v>
      </c>
      <c r="L84" s="12" t="s">
        <v>99</v>
      </c>
      <c r="M84" s="12" t="s">
        <v>48</v>
      </c>
      <c r="N84" s="12" t="s">
        <v>12</v>
      </c>
      <c r="O84" s="12" t="s">
        <v>6</v>
      </c>
      <c r="P84" s="12">
        <v>0</v>
      </c>
      <c r="Q84" s="12">
        <v>2</v>
      </c>
      <c r="R84" s="12" t="s">
        <v>13</v>
      </c>
      <c r="S84" s="12" t="s">
        <v>48</v>
      </c>
      <c r="T84" s="12" t="s">
        <v>48</v>
      </c>
      <c r="U84" s="12">
        <v>2259</v>
      </c>
    </row>
    <row r="85" spans="1:21">
      <c r="A85" s="13">
        <v>45931</v>
      </c>
      <c r="B85" s="12">
        <v>123484267</v>
      </c>
      <c r="C85" s="12">
        <v>1997</v>
      </c>
      <c r="D85" s="12" t="s">
        <v>74</v>
      </c>
      <c r="E85" s="12" t="s">
        <v>50</v>
      </c>
      <c r="F85" s="12" t="s">
        <v>86</v>
      </c>
      <c r="G85" s="12" t="s">
        <v>87</v>
      </c>
      <c r="H85" s="12" t="s">
        <v>58</v>
      </c>
      <c r="I85" s="12" t="s">
        <v>45</v>
      </c>
      <c r="J85" s="12">
        <v>1.184</v>
      </c>
      <c r="K85" s="12" t="s">
        <v>88</v>
      </c>
      <c r="L85" s="12" t="s">
        <v>84</v>
      </c>
      <c r="M85" s="12" t="s">
        <v>89</v>
      </c>
      <c r="N85" s="12" t="s">
        <v>14</v>
      </c>
      <c r="O85" s="12" t="s">
        <v>5</v>
      </c>
      <c r="P85" s="12">
        <v>5</v>
      </c>
      <c r="Q85" s="12">
        <v>1</v>
      </c>
      <c r="R85" s="12" t="s">
        <v>13</v>
      </c>
      <c r="S85" s="14">
        <v>0.66875</v>
      </c>
      <c r="T85" s="12" t="s">
        <v>67</v>
      </c>
      <c r="U85" s="12">
        <v>70638</v>
      </c>
    </row>
    <row r="86" spans="1:21">
      <c r="A86" s="13">
        <v>45870</v>
      </c>
      <c r="B86" s="12">
        <v>123675826</v>
      </c>
      <c r="C86" s="12">
        <v>1983</v>
      </c>
      <c r="D86" s="12" t="s">
        <v>79</v>
      </c>
      <c r="E86" s="12" t="s">
        <v>33</v>
      </c>
      <c r="F86" s="12" t="s">
        <v>34</v>
      </c>
      <c r="G86" s="12" t="s">
        <v>35</v>
      </c>
      <c r="H86" s="12" t="s">
        <v>36</v>
      </c>
      <c r="I86" s="12" t="s">
        <v>45</v>
      </c>
      <c r="J86" s="12">
        <v>0.946</v>
      </c>
      <c r="K86" s="12" t="s">
        <v>38</v>
      </c>
      <c r="L86" s="12" t="s">
        <v>84</v>
      </c>
      <c r="M86" s="12" t="s">
        <v>85</v>
      </c>
      <c r="N86" s="12" t="s">
        <v>14</v>
      </c>
      <c r="O86" s="12" t="s">
        <v>4</v>
      </c>
      <c r="P86" s="12">
        <v>1</v>
      </c>
      <c r="Q86" s="12">
        <v>1</v>
      </c>
      <c r="R86" s="12" t="s">
        <v>11</v>
      </c>
      <c r="S86" s="14">
        <v>0.434722222222222</v>
      </c>
      <c r="T86" s="12" t="s">
        <v>41</v>
      </c>
      <c r="U86" s="12">
        <v>7562</v>
      </c>
    </row>
    <row r="87" spans="1:21">
      <c r="A87" s="13">
        <v>45901</v>
      </c>
      <c r="B87" s="12">
        <v>123959113</v>
      </c>
      <c r="C87" s="12">
        <v>1997</v>
      </c>
      <c r="D87" s="12" t="s">
        <v>83</v>
      </c>
      <c r="E87" s="12" t="s">
        <v>33</v>
      </c>
      <c r="F87" s="12" t="s">
        <v>80</v>
      </c>
      <c r="G87" s="12" t="s">
        <v>81</v>
      </c>
      <c r="H87" s="12" t="s">
        <v>36</v>
      </c>
      <c r="I87" s="12" t="s">
        <v>45</v>
      </c>
      <c r="J87" s="12">
        <v>1.094</v>
      </c>
      <c r="K87" s="12" t="s">
        <v>82</v>
      </c>
      <c r="L87" s="12" t="s">
        <v>60</v>
      </c>
      <c r="M87" s="12" t="s">
        <v>48</v>
      </c>
      <c r="N87" s="12" t="s">
        <v>12</v>
      </c>
      <c r="O87" s="12" t="s">
        <v>5</v>
      </c>
      <c r="P87" s="12">
        <v>4</v>
      </c>
      <c r="Q87" s="12">
        <v>3</v>
      </c>
      <c r="R87" s="12" t="s">
        <v>11</v>
      </c>
      <c r="S87" s="14">
        <v>0.664583333333333</v>
      </c>
      <c r="T87" s="12" t="s">
        <v>67</v>
      </c>
      <c r="U87" s="12">
        <v>24779</v>
      </c>
    </row>
    <row r="88" spans="1:21">
      <c r="A88" s="13">
        <v>45689</v>
      </c>
      <c r="B88" s="12">
        <v>123831023</v>
      </c>
      <c r="C88" s="12">
        <v>1964</v>
      </c>
      <c r="D88" s="12" t="s">
        <v>83</v>
      </c>
      <c r="E88" s="12" t="s">
        <v>50</v>
      </c>
      <c r="F88" s="12" t="s">
        <v>62</v>
      </c>
      <c r="G88" s="12" t="s">
        <v>63</v>
      </c>
      <c r="H88" s="12" t="s">
        <v>58</v>
      </c>
      <c r="I88" s="12" t="s">
        <v>45</v>
      </c>
      <c r="J88" s="12">
        <v>0.948</v>
      </c>
      <c r="K88" s="12" t="s">
        <v>64</v>
      </c>
      <c r="L88" s="12" t="s">
        <v>39</v>
      </c>
      <c r="M88" s="12" t="s">
        <v>40</v>
      </c>
      <c r="N88" s="12" t="s">
        <v>14</v>
      </c>
      <c r="O88" s="12" t="s">
        <v>6</v>
      </c>
      <c r="P88" s="12">
        <v>0</v>
      </c>
      <c r="Q88" s="12">
        <v>1</v>
      </c>
      <c r="R88" s="12" t="s">
        <v>13</v>
      </c>
      <c r="S88" s="14">
        <v>0.565972222222222</v>
      </c>
      <c r="T88" s="12" t="s">
        <v>67</v>
      </c>
      <c r="U88" s="12">
        <v>1046</v>
      </c>
    </row>
    <row r="89" spans="1:21">
      <c r="A89" s="13">
        <v>45748</v>
      </c>
      <c r="B89" s="12">
        <v>123509917</v>
      </c>
      <c r="C89" s="12">
        <v>1997</v>
      </c>
      <c r="D89" s="12" t="s">
        <v>83</v>
      </c>
      <c r="E89" s="12" t="s">
        <v>50</v>
      </c>
      <c r="F89" s="12" t="s">
        <v>86</v>
      </c>
      <c r="G89" s="12" t="s">
        <v>87</v>
      </c>
      <c r="H89" s="12" t="s">
        <v>58</v>
      </c>
      <c r="I89" s="12" t="s">
        <v>45</v>
      </c>
      <c r="J89" s="12">
        <v>1.089</v>
      </c>
      <c r="K89" s="12" t="s">
        <v>88</v>
      </c>
      <c r="L89" s="12" t="s">
        <v>84</v>
      </c>
      <c r="M89" s="12" t="s">
        <v>85</v>
      </c>
      <c r="N89" s="12" t="s">
        <v>14</v>
      </c>
      <c r="O89" s="12" t="s">
        <v>6</v>
      </c>
      <c r="P89" s="12">
        <v>0</v>
      </c>
      <c r="Q89" s="12">
        <v>2</v>
      </c>
      <c r="R89" s="12" t="s">
        <v>11</v>
      </c>
      <c r="S89" s="12" t="s">
        <v>48</v>
      </c>
      <c r="T89" s="12" t="s">
        <v>48</v>
      </c>
      <c r="U89" s="12">
        <v>1460</v>
      </c>
    </row>
    <row r="90" spans="1:21">
      <c r="A90" s="13">
        <v>45931</v>
      </c>
      <c r="B90" s="12">
        <v>123911398</v>
      </c>
      <c r="C90" s="12">
        <v>1979</v>
      </c>
      <c r="D90" s="12" t="s">
        <v>79</v>
      </c>
      <c r="E90" s="12" t="s">
        <v>50</v>
      </c>
      <c r="F90" s="12" t="s">
        <v>80</v>
      </c>
      <c r="G90" s="12" t="s">
        <v>81</v>
      </c>
      <c r="H90" s="12" t="s">
        <v>36</v>
      </c>
      <c r="I90" s="12" t="s">
        <v>45</v>
      </c>
      <c r="J90" s="12">
        <v>1.082</v>
      </c>
      <c r="K90" s="12" t="s">
        <v>82</v>
      </c>
      <c r="L90" s="12" t="s">
        <v>84</v>
      </c>
      <c r="M90" s="12" t="s">
        <v>85</v>
      </c>
      <c r="N90" s="12" t="s">
        <v>14</v>
      </c>
      <c r="O90" s="12" t="s">
        <v>5</v>
      </c>
      <c r="P90" s="12">
        <v>6</v>
      </c>
      <c r="Q90" s="12">
        <v>2</v>
      </c>
      <c r="R90" s="12" t="s">
        <v>13</v>
      </c>
      <c r="S90" s="14">
        <v>0.463888888888889</v>
      </c>
      <c r="T90" s="12" t="s">
        <v>41</v>
      </c>
      <c r="U90" s="12">
        <v>9763</v>
      </c>
    </row>
    <row r="91" spans="1:21">
      <c r="A91" s="13">
        <v>45931</v>
      </c>
      <c r="B91" s="12">
        <v>123914903</v>
      </c>
      <c r="C91" s="12">
        <v>1963</v>
      </c>
      <c r="D91" s="12" t="s">
        <v>94</v>
      </c>
      <c r="E91" s="12" t="s">
        <v>50</v>
      </c>
      <c r="F91" s="12" t="s">
        <v>80</v>
      </c>
      <c r="G91" s="12" t="s">
        <v>81</v>
      </c>
      <c r="H91" s="12" t="s">
        <v>36</v>
      </c>
      <c r="I91" s="12" t="s">
        <v>37</v>
      </c>
      <c r="J91" s="12">
        <v>0.934</v>
      </c>
      <c r="K91" s="12" t="s">
        <v>82</v>
      </c>
      <c r="L91" s="12" t="s">
        <v>65</v>
      </c>
      <c r="M91" s="12" t="s">
        <v>96</v>
      </c>
      <c r="N91" s="12" t="s">
        <v>14</v>
      </c>
      <c r="O91" s="12" t="s">
        <v>6</v>
      </c>
      <c r="P91" s="12">
        <v>0</v>
      </c>
      <c r="Q91" s="12">
        <v>1</v>
      </c>
      <c r="R91" s="12" t="s">
        <v>11</v>
      </c>
      <c r="S91" s="12" t="s">
        <v>48</v>
      </c>
      <c r="T91" s="12" t="s">
        <v>48</v>
      </c>
      <c r="U91" s="12">
        <v>220</v>
      </c>
    </row>
    <row r="92" spans="1:21">
      <c r="A92" s="13">
        <v>45809</v>
      </c>
      <c r="B92" s="12">
        <v>123891578</v>
      </c>
      <c r="C92" s="12">
        <v>2003</v>
      </c>
      <c r="D92" s="12" t="s">
        <v>83</v>
      </c>
      <c r="E92" s="12" t="s">
        <v>50</v>
      </c>
      <c r="F92" s="12" t="s">
        <v>43</v>
      </c>
      <c r="G92" s="12" t="s">
        <v>44</v>
      </c>
      <c r="H92" s="12" t="s">
        <v>36</v>
      </c>
      <c r="I92" s="12" t="s">
        <v>37</v>
      </c>
      <c r="J92" s="12">
        <v>1.221</v>
      </c>
      <c r="K92" s="12" t="s">
        <v>46</v>
      </c>
      <c r="L92" s="12" t="s">
        <v>60</v>
      </c>
      <c r="M92" s="12" t="s">
        <v>48</v>
      </c>
      <c r="N92" s="12" t="s">
        <v>12</v>
      </c>
      <c r="O92" s="12" t="s">
        <v>5</v>
      </c>
      <c r="P92" s="12">
        <v>4</v>
      </c>
      <c r="Q92" s="12">
        <v>3</v>
      </c>
      <c r="R92" s="12" t="s">
        <v>13</v>
      </c>
      <c r="S92" s="14">
        <v>0.9</v>
      </c>
      <c r="T92" s="12" t="s">
        <v>67</v>
      </c>
      <c r="U92" s="12">
        <v>109430</v>
      </c>
    </row>
    <row r="93" spans="1:21">
      <c r="A93" s="13">
        <v>45931</v>
      </c>
      <c r="B93" s="12">
        <v>123947042</v>
      </c>
      <c r="C93" s="12">
        <v>1988</v>
      </c>
      <c r="D93" s="12" t="s">
        <v>32</v>
      </c>
      <c r="E93" s="12" t="s">
        <v>50</v>
      </c>
      <c r="F93" s="12" t="s">
        <v>69</v>
      </c>
      <c r="G93" s="12" t="s">
        <v>70</v>
      </c>
      <c r="H93" s="12" t="s">
        <v>58</v>
      </c>
      <c r="I93" s="12" t="s">
        <v>37</v>
      </c>
      <c r="J93" s="12">
        <v>0.941</v>
      </c>
      <c r="K93" s="12" t="s">
        <v>71</v>
      </c>
      <c r="L93" s="12" t="s">
        <v>84</v>
      </c>
      <c r="M93" s="12" t="s">
        <v>89</v>
      </c>
      <c r="N93" s="12" t="s">
        <v>14</v>
      </c>
      <c r="O93" s="12" t="s">
        <v>6</v>
      </c>
      <c r="P93" s="12">
        <v>0</v>
      </c>
      <c r="Q93" s="12">
        <v>1</v>
      </c>
      <c r="R93" s="12" t="s">
        <v>11</v>
      </c>
      <c r="S93" s="12" t="s">
        <v>48</v>
      </c>
      <c r="T93" s="12" t="s">
        <v>48</v>
      </c>
      <c r="U93" s="12">
        <v>434</v>
      </c>
    </row>
    <row r="94" spans="1:21">
      <c r="A94" s="13">
        <v>45962</v>
      </c>
      <c r="B94" s="12">
        <v>123586493</v>
      </c>
      <c r="C94" s="12">
        <v>2000</v>
      </c>
      <c r="D94" s="12" t="s">
        <v>100</v>
      </c>
      <c r="E94" s="12" t="s">
        <v>33</v>
      </c>
      <c r="F94" s="12" t="s">
        <v>43</v>
      </c>
      <c r="G94" s="12" t="s">
        <v>44</v>
      </c>
      <c r="H94" s="12" t="s">
        <v>36</v>
      </c>
      <c r="I94" s="12" t="s">
        <v>37</v>
      </c>
      <c r="J94" s="12">
        <v>0.987</v>
      </c>
      <c r="K94" s="12" t="s">
        <v>46</v>
      </c>
      <c r="L94" s="12" t="s">
        <v>39</v>
      </c>
      <c r="M94" s="12" t="s">
        <v>40</v>
      </c>
      <c r="N94" s="12" t="s">
        <v>14</v>
      </c>
      <c r="O94" s="12" t="s">
        <v>5</v>
      </c>
      <c r="P94" s="12">
        <v>4</v>
      </c>
      <c r="Q94" s="12">
        <v>1</v>
      </c>
      <c r="R94" s="12" t="s">
        <v>11</v>
      </c>
      <c r="S94" s="14">
        <v>0.292361111111111</v>
      </c>
      <c r="T94" s="12" t="s">
        <v>41</v>
      </c>
      <c r="U94" s="12">
        <v>43028</v>
      </c>
    </row>
    <row r="95" spans="1:21">
      <c r="A95" s="13">
        <v>45778</v>
      </c>
      <c r="B95" s="12">
        <v>123988885</v>
      </c>
      <c r="C95" s="12">
        <v>1985</v>
      </c>
      <c r="D95" s="12" t="s">
        <v>83</v>
      </c>
      <c r="E95" s="12" t="s">
        <v>50</v>
      </c>
      <c r="F95" s="12" t="s">
        <v>34</v>
      </c>
      <c r="G95" s="12" t="s">
        <v>35</v>
      </c>
      <c r="H95" s="12" t="s">
        <v>36</v>
      </c>
      <c r="I95" s="12" t="s">
        <v>37</v>
      </c>
      <c r="J95" s="12">
        <v>1.111</v>
      </c>
      <c r="K95" s="12" t="s">
        <v>38</v>
      </c>
      <c r="L95" s="12" t="s">
        <v>39</v>
      </c>
      <c r="M95" s="12" t="s">
        <v>78</v>
      </c>
      <c r="N95" s="12" t="s">
        <v>14</v>
      </c>
      <c r="O95" s="12" t="s">
        <v>6</v>
      </c>
      <c r="P95" s="12">
        <v>0</v>
      </c>
      <c r="Q95" s="12">
        <v>3</v>
      </c>
      <c r="R95" s="12" t="s">
        <v>13</v>
      </c>
      <c r="S95" s="14">
        <v>0.754861111111111</v>
      </c>
      <c r="T95" s="12" t="s">
        <v>67</v>
      </c>
      <c r="U95" s="12">
        <v>731</v>
      </c>
    </row>
    <row r="96" spans="1:21">
      <c r="A96" s="13">
        <v>45962</v>
      </c>
      <c r="B96" s="12">
        <v>123630458</v>
      </c>
      <c r="C96" s="12">
        <v>1962</v>
      </c>
      <c r="D96" s="12" t="s">
        <v>32</v>
      </c>
      <c r="E96" s="12" t="s">
        <v>33</v>
      </c>
      <c r="F96" s="12" t="s">
        <v>62</v>
      </c>
      <c r="G96" s="12" t="s">
        <v>63</v>
      </c>
      <c r="H96" s="12" t="s">
        <v>58</v>
      </c>
      <c r="I96" s="12" t="s">
        <v>45</v>
      </c>
      <c r="J96" s="12">
        <v>1.15</v>
      </c>
      <c r="K96" s="12" t="s">
        <v>64</v>
      </c>
      <c r="L96" s="12" t="s">
        <v>99</v>
      </c>
      <c r="M96" s="12" t="s">
        <v>48</v>
      </c>
      <c r="N96" s="12" t="s">
        <v>12</v>
      </c>
      <c r="O96" s="12" t="s">
        <v>6</v>
      </c>
      <c r="P96" s="12">
        <v>0</v>
      </c>
      <c r="Q96" s="12">
        <v>2</v>
      </c>
      <c r="R96" s="12" t="s">
        <v>13</v>
      </c>
      <c r="S96" s="12" t="s">
        <v>48</v>
      </c>
      <c r="T96" s="12" t="s">
        <v>48</v>
      </c>
      <c r="U96" s="12">
        <v>1255</v>
      </c>
    </row>
    <row r="97" spans="1:21">
      <c r="A97" s="13">
        <v>45748</v>
      </c>
      <c r="B97" s="12">
        <v>123892301</v>
      </c>
      <c r="C97" s="12">
        <v>1959</v>
      </c>
      <c r="D97" s="12" t="s">
        <v>83</v>
      </c>
      <c r="E97" s="12" t="s">
        <v>33</v>
      </c>
      <c r="F97" s="12" t="s">
        <v>69</v>
      </c>
      <c r="G97" s="12" t="s">
        <v>70</v>
      </c>
      <c r="H97" s="12" t="s">
        <v>58</v>
      </c>
      <c r="I97" s="12" t="s">
        <v>45</v>
      </c>
      <c r="J97" s="12">
        <v>1.235</v>
      </c>
      <c r="K97" s="12" t="s">
        <v>71</v>
      </c>
      <c r="L97" s="12" t="s">
        <v>99</v>
      </c>
      <c r="M97" s="12" t="s">
        <v>48</v>
      </c>
      <c r="N97" s="12" t="s">
        <v>12</v>
      </c>
      <c r="O97" s="12" t="s">
        <v>4</v>
      </c>
      <c r="P97" s="12">
        <v>1</v>
      </c>
      <c r="Q97" s="12">
        <v>2</v>
      </c>
      <c r="R97" s="12" t="s">
        <v>13</v>
      </c>
      <c r="S97" s="14">
        <v>0.432638888888889</v>
      </c>
      <c r="T97" s="12" t="s">
        <v>41</v>
      </c>
      <c r="U97" s="12">
        <v>2303</v>
      </c>
    </row>
    <row r="98" spans="1:21">
      <c r="A98" s="13">
        <v>45717</v>
      </c>
      <c r="B98" s="12">
        <v>123771173</v>
      </c>
      <c r="C98" s="12">
        <v>2004</v>
      </c>
      <c r="D98" s="12" t="s">
        <v>61</v>
      </c>
      <c r="E98" s="12" t="s">
        <v>50</v>
      </c>
      <c r="F98" s="12" t="s">
        <v>34</v>
      </c>
      <c r="G98" s="12" t="s">
        <v>35</v>
      </c>
      <c r="H98" s="12" t="s">
        <v>36</v>
      </c>
      <c r="I98" s="12" t="s">
        <v>45</v>
      </c>
      <c r="J98" s="12">
        <v>1.069</v>
      </c>
      <c r="K98" s="12" t="s">
        <v>38</v>
      </c>
      <c r="L98" s="12" t="s">
        <v>99</v>
      </c>
      <c r="M98" s="12" t="s">
        <v>48</v>
      </c>
      <c r="N98" s="12" t="s">
        <v>12</v>
      </c>
      <c r="O98" s="12" t="s">
        <v>5</v>
      </c>
      <c r="P98" s="12">
        <v>4</v>
      </c>
      <c r="Q98" s="12">
        <v>1</v>
      </c>
      <c r="R98" s="12" t="s">
        <v>11</v>
      </c>
      <c r="S98" s="14">
        <v>0.397916666666667</v>
      </c>
      <c r="T98" s="12" t="s">
        <v>41</v>
      </c>
      <c r="U98" s="12">
        <v>72179</v>
      </c>
    </row>
    <row r="99" spans="1:21">
      <c r="A99" s="13">
        <v>45901</v>
      </c>
      <c r="B99" s="12">
        <v>123880035</v>
      </c>
      <c r="C99" s="12">
        <v>2002</v>
      </c>
      <c r="D99" s="12" t="s">
        <v>68</v>
      </c>
      <c r="E99" s="12" t="s">
        <v>50</v>
      </c>
      <c r="F99" s="12" t="s">
        <v>80</v>
      </c>
      <c r="G99" s="12" t="s">
        <v>81</v>
      </c>
      <c r="H99" s="12" t="s">
        <v>36</v>
      </c>
      <c r="I99" s="12" t="s">
        <v>45</v>
      </c>
      <c r="J99" s="12">
        <v>1.09</v>
      </c>
      <c r="K99" s="12" t="s">
        <v>82</v>
      </c>
      <c r="L99" s="12" t="s">
        <v>39</v>
      </c>
      <c r="M99" s="12" t="s">
        <v>47</v>
      </c>
      <c r="N99" s="12" t="s">
        <v>14</v>
      </c>
      <c r="O99" s="12" t="s">
        <v>5</v>
      </c>
      <c r="P99" s="12">
        <v>4</v>
      </c>
      <c r="Q99" s="12">
        <v>1</v>
      </c>
      <c r="R99" s="12" t="s">
        <v>11</v>
      </c>
      <c r="S99" s="14">
        <v>0.347916666666667</v>
      </c>
      <c r="T99" s="12" t="s">
        <v>41</v>
      </c>
      <c r="U99" s="12">
        <v>16447</v>
      </c>
    </row>
    <row r="100" spans="1:21">
      <c r="A100" s="13">
        <v>45870</v>
      </c>
      <c r="B100" s="12">
        <v>123797533</v>
      </c>
      <c r="C100" s="12">
        <v>1999</v>
      </c>
      <c r="D100" s="12" t="s">
        <v>61</v>
      </c>
      <c r="E100" s="12" t="s">
        <v>33</v>
      </c>
      <c r="F100" s="12" t="s">
        <v>51</v>
      </c>
      <c r="G100" s="12" t="s">
        <v>52</v>
      </c>
      <c r="H100" s="12" t="s">
        <v>53</v>
      </c>
      <c r="I100" s="12" t="s">
        <v>45</v>
      </c>
      <c r="J100" s="12">
        <v>0.98</v>
      </c>
      <c r="K100" s="12" t="s">
        <v>54</v>
      </c>
      <c r="L100" s="12" t="s">
        <v>39</v>
      </c>
      <c r="M100" s="12" t="s">
        <v>40</v>
      </c>
      <c r="N100" s="12" t="s">
        <v>14</v>
      </c>
      <c r="O100" s="12" t="s">
        <v>4</v>
      </c>
      <c r="P100" s="12">
        <v>1</v>
      </c>
      <c r="Q100" s="12">
        <v>2</v>
      </c>
      <c r="R100" s="12" t="s">
        <v>11</v>
      </c>
      <c r="S100" s="12" t="s">
        <v>48</v>
      </c>
      <c r="T100" s="12" t="s">
        <v>48</v>
      </c>
      <c r="U100" s="12">
        <v>2245</v>
      </c>
    </row>
    <row r="101" spans="1:21">
      <c r="A101" s="13">
        <v>45689</v>
      </c>
      <c r="B101" s="12">
        <v>123805510</v>
      </c>
      <c r="C101" s="12">
        <v>1986</v>
      </c>
      <c r="D101" s="12" t="s">
        <v>83</v>
      </c>
      <c r="E101" s="12" t="s">
        <v>50</v>
      </c>
      <c r="F101" s="12" t="s">
        <v>51</v>
      </c>
      <c r="G101" s="12" t="s">
        <v>52</v>
      </c>
      <c r="H101" s="12" t="s">
        <v>53</v>
      </c>
      <c r="I101" s="12" t="s">
        <v>45</v>
      </c>
      <c r="J101" s="12">
        <v>0.889</v>
      </c>
      <c r="K101" s="12" t="s">
        <v>54</v>
      </c>
      <c r="L101" s="12" t="s">
        <v>65</v>
      </c>
      <c r="M101" s="12" t="s">
        <v>66</v>
      </c>
      <c r="N101" s="12" t="s">
        <v>14</v>
      </c>
      <c r="O101" s="12" t="s">
        <v>6</v>
      </c>
      <c r="P101" s="12">
        <v>0</v>
      </c>
      <c r="Q101" s="12">
        <v>1</v>
      </c>
      <c r="R101" s="12" t="s">
        <v>11</v>
      </c>
      <c r="S101" s="14">
        <v>0.318055555555556</v>
      </c>
      <c r="T101" s="12" t="s">
        <v>41</v>
      </c>
      <c r="U101" s="12">
        <v>795</v>
      </c>
    </row>
    <row r="102" spans="1:21">
      <c r="A102" s="13">
        <v>45931</v>
      </c>
      <c r="B102" s="12">
        <v>123791257</v>
      </c>
      <c r="C102" s="12">
        <v>2003</v>
      </c>
      <c r="D102" s="12" t="s">
        <v>79</v>
      </c>
      <c r="E102" s="12" t="s">
        <v>33</v>
      </c>
      <c r="F102" s="12" t="s">
        <v>80</v>
      </c>
      <c r="G102" s="12" t="s">
        <v>81</v>
      </c>
      <c r="H102" s="12" t="s">
        <v>36</v>
      </c>
      <c r="I102" s="12" t="s">
        <v>37</v>
      </c>
      <c r="J102" s="12">
        <v>1.025</v>
      </c>
      <c r="K102" s="12" t="s">
        <v>82</v>
      </c>
      <c r="L102" s="12" t="s">
        <v>65</v>
      </c>
      <c r="M102" s="12" t="s">
        <v>66</v>
      </c>
      <c r="N102" s="12" t="s">
        <v>14</v>
      </c>
      <c r="O102" s="12" t="s">
        <v>6</v>
      </c>
      <c r="P102" s="12">
        <v>0</v>
      </c>
      <c r="Q102" s="12">
        <v>1</v>
      </c>
      <c r="R102" s="12" t="s">
        <v>11</v>
      </c>
      <c r="S102" s="12" t="s">
        <v>48</v>
      </c>
      <c r="T102" s="12" t="s">
        <v>48</v>
      </c>
      <c r="U102" s="12">
        <v>1766</v>
      </c>
    </row>
    <row r="103" spans="1:21">
      <c r="A103" s="13">
        <v>45717</v>
      </c>
      <c r="B103" s="12">
        <v>123879773</v>
      </c>
      <c r="C103" s="12">
        <v>1997</v>
      </c>
      <c r="D103" s="12" t="s">
        <v>61</v>
      </c>
      <c r="E103" s="12" t="s">
        <v>50</v>
      </c>
      <c r="F103" s="12" t="s">
        <v>43</v>
      </c>
      <c r="G103" s="12" t="s">
        <v>44</v>
      </c>
      <c r="H103" s="12" t="s">
        <v>36</v>
      </c>
      <c r="I103" s="12" t="s">
        <v>45</v>
      </c>
      <c r="J103" s="12">
        <v>1.017</v>
      </c>
      <c r="K103" s="12" t="s">
        <v>46</v>
      </c>
      <c r="L103" s="12" t="s">
        <v>39</v>
      </c>
      <c r="M103" s="12" t="s">
        <v>40</v>
      </c>
      <c r="N103" s="12" t="s">
        <v>14</v>
      </c>
      <c r="O103" s="12" t="s">
        <v>6</v>
      </c>
      <c r="P103" s="12">
        <v>0</v>
      </c>
      <c r="Q103" s="12">
        <v>2</v>
      </c>
      <c r="R103" s="12" t="s">
        <v>11</v>
      </c>
      <c r="S103" s="12" t="s">
        <v>48</v>
      </c>
      <c r="T103" s="12" t="s">
        <v>48</v>
      </c>
      <c r="U103" s="12">
        <v>514</v>
      </c>
    </row>
    <row r="104" spans="1:21">
      <c r="A104" s="13">
        <v>45931</v>
      </c>
      <c r="B104" s="12">
        <v>123858038</v>
      </c>
      <c r="C104" s="12">
        <v>1984</v>
      </c>
      <c r="D104" s="12" t="s">
        <v>97</v>
      </c>
      <c r="E104" s="12" t="s">
        <v>33</v>
      </c>
      <c r="F104" s="12" t="s">
        <v>80</v>
      </c>
      <c r="G104" s="12" t="s">
        <v>81</v>
      </c>
      <c r="H104" s="12" t="s">
        <v>36</v>
      </c>
      <c r="I104" s="12" t="s">
        <v>37</v>
      </c>
      <c r="J104" s="12">
        <v>0.818</v>
      </c>
      <c r="K104" s="12" t="s">
        <v>82</v>
      </c>
      <c r="L104" s="12" t="s">
        <v>84</v>
      </c>
      <c r="M104" s="12" t="s">
        <v>85</v>
      </c>
      <c r="N104" s="12" t="s">
        <v>14</v>
      </c>
      <c r="O104" s="12" t="s">
        <v>6</v>
      </c>
      <c r="P104" s="12">
        <v>0</v>
      </c>
      <c r="Q104" s="12">
        <v>1</v>
      </c>
      <c r="R104" s="12" t="s">
        <v>11</v>
      </c>
      <c r="S104" s="12" t="s">
        <v>48</v>
      </c>
      <c r="T104" s="12" t="s">
        <v>48</v>
      </c>
      <c r="U104" s="12">
        <v>1569</v>
      </c>
    </row>
    <row r="105" spans="1:21">
      <c r="A105" s="13">
        <v>45658</v>
      </c>
      <c r="B105" s="12">
        <v>123529196</v>
      </c>
      <c r="C105" s="12">
        <v>1983</v>
      </c>
      <c r="D105" s="12" t="s">
        <v>49</v>
      </c>
      <c r="E105" s="12" t="s">
        <v>33</v>
      </c>
      <c r="F105" s="12" t="s">
        <v>43</v>
      </c>
      <c r="G105" s="12" t="s">
        <v>44</v>
      </c>
      <c r="H105" s="12" t="s">
        <v>36</v>
      </c>
      <c r="I105" s="12" t="s">
        <v>45</v>
      </c>
      <c r="J105" s="12">
        <v>0.927</v>
      </c>
      <c r="K105" s="12" t="s">
        <v>46</v>
      </c>
      <c r="L105" s="12" t="s">
        <v>39</v>
      </c>
      <c r="M105" s="12" t="s">
        <v>78</v>
      </c>
      <c r="N105" s="12" t="s">
        <v>14</v>
      </c>
      <c r="O105" s="12" t="s">
        <v>6</v>
      </c>
      <c r="P105" s="12">
        <v>0</v>
      </c>
      <c r="Q105" s="12">
        <v>1</v>
      </c>
      <c r="R105" s="12" t="s">
        <v>11</v>
      </c>
      <c r="S105" s="12" t="s">
        <v>48</v>
      </c>
      <c r="T105" s="12" t="s">
        <v>48</v>
      </c>
      <c r="U105" s="12">
        <v>1595</v>
      </c>
    </row>
    <row r="106" spans="1:21">
      <c r="A106" s="13">
        <v>45931</v>
      </c>
      <c r="B106" s="12">
        <v>123905373</v>
      </c>
      <c r="C106" s="12">
        <v>2002</v>
      </c>
      <c r="D106" s="12" t="s">
        <v>90</v>
      </c>
      <c r="E106" s="12" t="s">
        <v>50</v>
      </c>
      <c r="F106" s="12" t="s">
        <v>34</v>
      </c>
      <c r="G106" s="12" t="s">
        <v>35</v>
      </c>
      <c r="H106" s="12" t="s">
        <v>36</v>
      </c>
      <c r="I106" s="12" t="s">
        <v>45</v>
      </c>
      <c r="J106" s="12">
        <v>1.022</v>
      </c>
      <c r="K106" s="12" t="s">
        <v>38</v>
      </c>
      <c r="L106" s="12" t="s">
        <v>72</v>
      </c>
      <c r="M106" s="12" t="s">
        <v>95</v>
      </c>
      <c r="N106" s="12" t="s">
        <v>14</v>
      </c>
      <c r="O106" s="12" t="s">
        <v>4</v>
      </c>
      <c r="P106" s="12">
        <v>1</v>
      </c>
      <c r="Q106" s="12">
        <v>1</v>
      </c>
      <c r="R106" s="12" t="s">
        <v>13</v>
      </c>
      <c r="S106" s="14">
        <v>0.331944444444444</v>
      </c>
      <c r="T106" s="12" t="s">
        <v>41</v>
      </c>
      <c r="U106" s="12">
        <v>6359</v>
      </c>
    </row>
    <row r="107" spans="1:21">
      <c r="A107" s="13">
        <v>45931</v>
      </c>
      <c r="B107" s="12">
        <v>123747620</v>
      </c>
      <c r="C107" s="12">
        <v>1987</v>
      </c>
      <c r="D107" s="12" t="s">
        <v>79</v>
      </c>
      <c r="E107" s="12" t="s">
        <v>50</v>
      </c>
      <c r="F107" s="12" t="s">
        <v>86</v>
      </c>
      <c r="G107" s="12" t="s">
        <v>87</v>
      </c>
      <c r="H107" s="12" t="s">
        <v>58</v>
      </c>
      <c r="I107" s="12" t="s">
        <v>45</v>
      </c>
      <c r="J107" s="12">
        <v>0.949</v>
      </c>
      <c r="K107" s="12" t="s">
        <v>88</v>
      </c>
      <c r="L107" s="12" t="s">
        <v>39</v>
      </c>
      <c r="M107" s="12" t="s">
        <v>40</v>
      </c>
      <c r="N107" s="12" t="s">
        <v>14</v>
      </c>
      <c r="O107" s="12" t="s">
        <v>6</v>
      </c>
      <c r="P107" s="12">
        <v>0</v>
      </c>
      <c r="Q107" s="12">
        <v>2</v>
      </c>
      <c r="R107" s="12" t="s">
        <v>11</v>
      </c>
      <c r="S107" s="12" t="s">
        <v>48</v>
      </c>
      <c r="T107" s="12" t="s">
        <v>48</v>
      </c>
      <c r="U107" s="12">
        <v>720</v>
      </c>
    </row>
    <row r="108" spans="1:21">
      <c r="A108" s="13">
        <v>45931</v>
      </c>
      <c r="B108" s="12">
        <v>123631757</v>
      </c>
      <c r="C108" s="12">
        <v>1999</v>
      </c>
      <c r="D108" s="12" t="s">
        <v>79</v>
      </c>
      <c r="E108" s="12" t="s">
        <v>33</v>
      </c>
      <c r="F108" s="12" t="s">
        <v>91</v>
      </c>
      <c r="G108" s="12" t="s">
        <v>92</v>
      </c>
      <c r="H108" s="12" t="s">
        <v>58</v>
      </c>
      <c r="I108" s="12" t="s">
        <v>45</v>
      </c>
      <c r="J108" s="12">
        <v>1.218</v>
      </c>
      <c r="K108" s="12" t="s">
        <v>93</v>
      </c>
      <c r="L108" s="12" t="s">
        <v>39</v>
      </c>
      <c r="M108" s="12" t="s">
        <v>47</v>
      </c>
      <c r="N108" s="12" t="s">
        <v>14</v>
      </c>
      <c r="O108" s="12" t="s">
        <v>6</v>
      </c>
      <c r="P108" s="12">
        <v>0</v>
      </c>
      <c r="Q108" s="12">
        <v>2</v>
      </c>
      <c r="R108" s="12" t="s">
        <v>13</v>
      </c>
      <c r="S108" s="12" t="s">
        <v>48</v>
      </c>
      <c r="T108" s="12" t="s">
        <v>48</v>
      </c>
      <c r="U108" s="12">
        <v>1004</v>
      </c>
    </row>
    <row r="109" spans="1:21">
      <c r="A109" s="13">
        <v>45870</v>
      </c>
      <c r="B109" s="12">
        <v>123735736</v>
      </c>
      <c r="C109" s="12">
        <v>1961</v>
      </c>
      <c r="D109" s="12" t="s">
        <v>49</v>
      </c>
      <c r="E109" s="12" t="s">
        <v>50</v>
      </c>
      <c r="F109" s="12" t="s">
        <v>86</v>
      </c>
      <c r="G109" s="12" t="s">
        <v>87</v>
      </c>
      <c r="H109" s="12" t="s">
        <v>58</v>
      </c>
      <c r="I109" s="12" t="s">
        <v>45</v>
      </c>
      <c r="J109" s="12">
        <v>1.158</v>
      </c>
      <c r="K109" s="12" t="s">
        <v>88</v>
      </c>
      <c r="L109" s="12" t="s">
        <v>39</v>
      </c>
      <c r="M109" s="12" t="s">
        <v>47</v>
      </c>
      <c r="N109" s="12" t="s">
        <v>14</v>
      </c>
      <c r="O109" s="12" t="s">
        <v>6</v>
      </c>
      <c r="P109" s="12">
        <v>0</v>
      </c>
      <c r="Q109" s="12">
        <v>3</v>
      </c>
      <c r="R109" s="12" t="s">
        <v>13</v>
      </c>
      <c r="S109" s="14">
        <v>0.804861111111111</v>
      </c>
      <c r="T109" s="12" t="s">
        <v>67</v>
      </c>
      <c r="U109" s="12">
        <v>238</v>
      </c>
    </row>
    <row r="110" spans="1:21">
      <c r="A110" s="13">
        <v>45809</v>
      </c>
      <c r="B110" s="12">
        <v>123982038</v>
      </c>
      <c r="C110" s="12">
        <v>1987</v>
      </c>
      <c r="D110" s="12" t="s">
        <v>83</v>
      </c>
      <c r="E110" s="12" t="s">
        <v>50</v>
      </c>
      <c r="F110" s="12" t="s">
        <v>43</v>
      </c>
      <c r="G110" s="12" t="s">
        <v>44</v>
      </c>
      <c r="H110" s="12" t="s">
        <v>36</v>
      </c>
      <c r="I110" s="12" t="s">
        <v>45</v>
      </c>
      <c r="J110" s="12">
        <v>1.097</v>
      </c>
      <c r="K110" s="12" t="s">
        <v>46</v>
      </c>
      <c r="L110" s="12" t="s">
        <v>60</v>
      </c>
      <c r="M110" s="12" t="s">
        <v>48</v>
      </c>
      <c r="N110" s="12" t="s">
        <v>12</v>
      </c>
      <c r="O110" s="12" t="s">
        <v>6</v>
      </c>
      <c r="P110" s="12">
        <v>0</v>
      </c>
      <c r="Q110" s="12">
        <v>1</v>
      </c>
      <c r="R110" s="12" t="s">
        <v>11</v>
      </c>
      <c r="S110" s="14">
        <v>0.867361111111111</v>
      </c>
      <c r="T110" s="12" t="s">
        <v>67</v>
      </c>
      <c r="U110" s="12">
        <v>1855</v>
      </c>
    </row>
    <row r="111" spans="1:21">
      <c r="A111" s="13">
        <v>45901</v>
      </c>
      <c r="B111" s="12">
        <v>123922518</v>
      </c>
      <c r="C111" s="12">
        <v>1987</v>
      </c>
      <c r="D111" s="12" t="s">
        <v>74</v>
      </c>
      <c r="E111" s="12" t="s">
        <v>50</v>
      </c>
      <c r="F111" s="12" t="s">
        <v>80</v>
      </c>
      <c r="G111" s="12" t="s">
        <v>81</v>
      </c>
      <c r="H111" s="12" t="s">
        <v>36</v>
      </c>
      <c r="I111" s="12" t="s">
        <v>37</v>
      </c>
      <c r="J111" s="12">
        <v>1.056</v>
      </c>
      <c r="K111" s="12" t="s">
        <v>82</v>
      </c>
      <c r="L111" s="12" t="s">
        <v>65</v>
      </c>
      <c r="M111" s="12" t="s">
        <v>66</v>
      </c>
      <c r="N111" s="12" t="s">
        <v>14</v>
      </c>
      <c r="O111" s="12" t="s">
        <v>6</v>
      </c>
      <c r="P111" s="12">
        <v>0</v>
      </c>
      <c r="Q111" s="12">
        <v>1</v>
      </c>
      <c r="R111" s="12" t="s">
        <v>13</v>
      </c>
      <c r="S111" s="12" t="s">
        <v>48</v>
      </c>
      <c r="T111" s="12" t="s">
        <v>48</v>
      </c>
      <c r="U111" s="12">
        <v>1605</v>
      </c>
    </row>
    <row r="112" spans="1:21">
      <c r="A112" s="13">
        <v>45748</v>
      </c>
      <c r="B112" s="12">
        <v>123909531</v>
      </c>
      <c r="C112" s="12">
        <v>1987</v>
      </c>
      <c r="D112" s="12" t="s">
        <v>68</v>
      </c>
      <c r="E112" s="12" t="s">
        <v>50</v>
      </c>
      <c r="F112" s="12" t="s">
        <v>69</v>
      </c>
      <c r="G112" s="12" t="s">
        <v>70</v>
      </c>
      <c r="H112" s="12" t="s">
        <v>58</v>
      </c>
      <c r="I112" s="12" t="s">
        <v>45</v>
      </c>
      <c r="J112" s="12">
        <v>1.128</v>
      </c>
      <c r="K112" s="12" t="s">
        <v>71</v>
      </c>
      <c r="L112" s="12" t="s">
        <v>99</v>
      </c>
      <c r="M112" s="12" t="s">
        <v>48</v>
      </c>
      <c r="N112" s="12" t="s">
        <v>12</v>
      </c>
      <c r="O112" s="12" t="s">
        <v>5</v>
      </c>
      <c r="P112" s="12">
        <v>3</v>
      </c>
      <c r="Q112" s="12">
        <v>2</v>
      </c>
      <c r="R112" s="12" t="s">
        <v>13</v>
      </c>
      <c r="S112" s="14">
        <v>0.639583333333333</v>
      </c>
      <c r="T112" s="12" t="s">
        <v>67</v>
      </c>
      <c r="U112" s="12">
        <v>39264</v>
      </c>
    </row>
    <row r="113" spans="1:21">
      <c r="A113" s="13">
        <v>45931</v>
      </c>
      <c r="B113" s="12">
        <v>123707762</v>
      </c>
      <c r="C113" s="12">
        <v>1997</v>
      </c>
      <c r="D113" s="12" t="s">
        <v>98</v>
      </c>
      <c r="E113" s="12" t="s">
        <v>33</v>
      </c>
      <c r="F113" s="12" t="s">
        <v>56</v>
      </c>
      <c r="G113" s="12" t="s">
        <v>57</v>
      </c>
      <c r="H113" s="12" t="s">
        <v>58</v>
      </c>
      <c r="I113" s="12" t="s">
        <v>45</v>
      </c>
      <c r="J113" s="12">
        <v>0.976</v>
      </c>
      <c r="K113" s="12" t="s">
        <v>59</v>
      </c>
      <c r="L113" s="12" t="s">
        <v>72</v>
      </c>
      <c r="M113" s="12" t="s">
        <v>95</v>
      </c>
      <c r="N113" s="12" t="s">
        <v>14</v>
      </c>
      <c r="O113" s="12" t="s">
        <v>6</v>
      </c>
      <c r="P113" s="12">
        <v>0</v>
      </c>
      <c r="Q113" s="12">
        <v>2</v>
      </c>
      <c r="R113" s="12" t="s">
        <v>13</v>
      </c>
      <c r="S113" s="14">
        <v>0.259027777777778</v>
      </c>
      <c r="T113" s="12" t="s">
        <v>41</v>
      </c>
      <c r="U113" s="12">
        <v>1263</v>
      </c>
    </row>
    <row r="114" spans="1:21">
      <c r="A114" s="13">
        <v>45839</v>
      </c>
      <c r="B114" s="12">
        <v>123882570</v>
      </c>
      <c r="C114" s="12">
        <v>2003</v>
      </c>
      <c r="D114" s="12" t="s">
        <v>74</v>
      </c>
      <c r="E114" s="12" t="s">
        <v>33</v>
      </c>
      <c r="F114" s="12" t="s">
        <v>75</v>
      </c>
      <c r="G114" s="12" t="s">
        <v>76</v>
      </c>
      <c r="H114" s="12" t="s">
        <v>53</v>
      </c>
      <c r="I114" s="12" t="s">
        <v>45</v>
      </c>
      <c r="J114" s="12">
        <v>1.051</v>
      </c>
      <c r="K114" s="12" t="s">
        <v>77</v>
      </c>
      <c r="L114" s="12" t="s">
        <v>72</v>
      </c>
      <c r="M114" s="12" t="s">
        <v>73</v>
      </c>
      <c r="N114" s="12" t="s">
        <v>14</v>
      </c>
      <c r="O114" s="12" t="s">
        <v>5</v>
      </c>
      <c r="P114" s="12">
        <v>4</v>
      </c>
      <c r="Q114" s="12">
        <v>2</v>
      </c>
      <c r="R114" s="12" t="s">
        <v>11</v>
      </c>
      <c r="S114" s="14">
        <v>0.825694444444444</v>
      </c>
      <c r="T114" s="12" t="s">
        <v>67</v>
      </c>
      <c r="U114" s="12">
        <v>24119</v>
      </c>
    </row>
    <row r="115" spans="1:21">
      <c r="A115" s="13">
        <v>45809</v>
      </c>
      <c r="B115" s="12">
        <v>123665488</v>
      </c>
      <c r="C115" s="12">
        <v>2003</v>
      </c>
      <c r="D115" s="12" t="s">
        <v>90</v>
      </c>
      <c r="E115" s="12" t="s">
        <v>50</v>
      </c>
      <c r="F115" s="12" t="s">
        <v>43</v>
      </c>
      <c r="G115" s="12" t="s">
        <v>44</v>
      </c>
      <c r="H115" s="12" t="s">
        <v>36</v>
      </c>
      <c r="I115" s="12" t="s">
        <v>45</v>
      </c>
      <c r="J115" s="12">
        <v>1.091</v>
      </c>
      <c r="K115" s="12" t="s">
        <v>46</v>
      </c>
      <c r="L115" s="12" t="s">
        <v>39</v>
      </c>
      <c r="M115" s="12" t="s">
        <v>78</v>
      </c>
      <c r="N115" s="12" t="s">
        <v>14</v>
      </c>
      <c r="O115" s="12" t="s">
        <v>5</v>
      </c>
      <c r="P115" s="12">
        <v>3</v>
      </c>
      <c r="Q115" s="12">
        <v>3</v>
      </c>
      <c r="R115" s="12" t="s">
        <v>11</v>
      </c>
      <c r="S115" s="14">
        <v>0.650694444444444</v>
      </c>
      <c r="T115" s="12" t="s">
        <v>67</v>
      </c>
      <c r="U115" s="12">
        <v>72650</v>
      </c>
    </row>
    <row r="116" spans="1:21">
      <c r="A116" s="13">
        <v>45839</v>
      </c>
      <c r="B116" s="12">
        <v>123829273</v>
      </c>
      <c r="C116" s="12">
        <v>1957</v>
      </c>
      <c r="D116" s="12" t="s">
        <v>61</v>
      </c>
      <c r="E116" s="12" t="s">
        <v>33</v>
      </c>
      <c r="F116" s="12" t="s">
        <v>62</v>
      </c>
      <c r="G116" s="12" t="s">
        <v>63</v>
      </c>
      <c r="H116" s="12" t="s">
        <v>58</v>
      </c>
      <c r="I116" s="12" t="s">
        <v>45</v>
      </c>
      <c r="J116" s="12">
        <v>0.983</v>
      </c>
      <c r="K116" s="12" t="s">
        <v>64</v>
      </c>
      <c r="L116" s="12" t="s">
        <v>84</v>
      </c>
      <c r="M116" s="12" t="s">
        <v>85</v>
      </c>
      <c r="N116" s="12" t="s">
        <v>14</v>
      </c>
      <c r="O116" s="12" t="s">
        <v>5</v>
      </c>
      <c r="P116" s="12">
        <v>5</v>
      </c>
      <c r="Q116" s="12">
        <v>2</v>
      </c>
      <c r="R116" s="12" t="s">
        <v>13</v>
      </c>
      <c r="S116" s="14">
        <v>0.3375</v>
      </c>
      <c r="T116" s="12" t="s">
        <v>41</v>
      </c>
      <c r="U116" s="12">
        <v>95260</v>
      </c>
    </row>
    <row r="117" spans="1:21">
      <c r="A117" s="13">
        <v>45839</v>
      </c>
      <c r="B117" s="12">
        <v>123803921</v>
      </c>
      <c r="C117" s="12">
        <v>1985</v>
      </c>
      <c r="D117" s="12" t="s">
        <v>49</v>
      </c>
      <c r="E117" s="12" t="s">
        <v>50</v>
      </c>
      <c r="F117" s="12" t="s">
        <v>75</v>
      </c>
      <c r="G117" s="12" t="s">
        <v>76</v>
      </c>
      <c r="H117" s="12" t="s">
        <v>53</v>
      </c>
      <c r="I117" s="12" t="s">
        <v>45</v>
      </c>
      <c r="J117" s="12">
        <v>1.066</v>
      </c>
      <c r="K117" s="12" t="s">
        <v>77</v>
      </c>
      <c r="L117" s="12" t="s">
        <v>39</v>
      </c>
      <c r="M117" s="12" t="s">
        <v>40</v>
      </c>
      <c r="N117" s="12" t="s">
        <v>14</v>
      </c>
      <c r="O117" s="12" t="s">
        <v>5</v>
      </c>
      <c r="P117" s="12">
        <v>4</v>
      </c>
      <c r="Q117" s="12">
        <v>2</v>
      </c>
      <c r="R117" s="12" t="s">
        <v>13</v>
      </c>
      <c r="S117" s="14">
        <v>0.88125</v>
      </c>
      <c r="T117" s="12" t="s">
        <v>67</v>
      </c>
      <c r="U117" s="12">
        <v>46494</v>
      </c>
    </row>
    <row r="118" spans="1:21">
      <c r="A118" s="13">
        <v>45658</v>
      </c>
      <c r="B118" s="12">
        <v>123591890</v>
      </c>
      <c r="C118" s="12">
        <v>2004</v>
      </c>
      <c r="D118" s="12" t="s">
        <v>83</v>
      </c>
      <c r="E118" s="12" t="s">
        <v>50</v>
      </c>
      <c r="F118" s="12" t="s">
        <v>86</v>
      </c>
      <c r="G118" s="12" t="s">
        <v>87</v>
      </c>
      <c r="H118" s="12" t="s">
        <v>58</v>
      </c>
      <c r="I118" s="12" t="s">
        <v>45</v>
      </c>
      <c r="J118" s="12">
        <v>1.008</v>
      </c>
      <c r="K118" s="12" t="s">
        <v>88</v>
      </c>
      <c r="L118" s="12" t="s">
        <v>65</v>
      </c>
      <c r="M118" s="12" t="s">
        <v>66</v>
      </c>
      <c r="N118" s="12" t="s">
        <v>14</v>
      </c>
      <c r="O118" s="12" t="s">
        <v>6</v>
      </c>
      <c r="P118" s="12">
        <v>0</v>
      </c>
      <c r="Q118" s="12">
        <v>3</v>
      </c>
      <c r="R118" s="12" t="s">
        <v>11</v>
      </c>
      <c r="S118" s="12" t="s">
        <v>48</v>
      </c>
      <c r="T118" s="12" t="s">
        <v>48</v>
      </c>
      <c r="U118" s="12">
        <v>1467</v>
      </c>
    </row>
    <row r="119" spans="1:21">
      <c r="A119" s="13">
        <v>45689</v>
      </c>
      <c r="B119" s="12">
        <v>123600955</v>
      </c>
      <c r="C119" s="12">
        <v>1994</v>
      </c>
      <c r="D119" s="12" t="s">
        <v>61</v>
      </c>
      <c r="E119" s="12" t="s">
        <v>50</v>
      </c>
      <c r="F119" s="12" t="s">
        <v>56</v>
      </c>
      <c r="G119" s="12" t="s">
        <v>57</v>
      </c>
      <c r="H119" s="12" t="s">
        <v>58</v>
      </c>
      <c r="I119" s="12" t="s">
        <v>45</v>
      </c>
      <c r="J119" s="12">
        <v>1.001</v>
      </c>
      <c r="K119" s="12" t="s">
        <v>59</v>
      </c>
      <c r="L119" s="12" t="s">
        <v>65</v>
      </c>
      <c r="M119" s="12" t="s">
        <v>96</v>
      </c>
      <c r="N119" s="12" t="s">
        <v>14</v>
      </c>
      <c r="O119" s="12" t="s">
        <v>6</v>
      </c>
      <c r="P119" s="12">
        <v>0</v>
      </c>
      <c r="Q119" s="12">
        <v>1</v>
      </c>
      <c r="R119" s="12" t="s">
        <v>11</v>
      </c>
      <c r="S119" s="12" t="s">
        <v>48</v>
      </c>
      <c r="T119" s="12" t="s">
        <v>48</v>
      </c>
      <c r="U119" s="12">
        <v>861</v>
      </c>
    </row>
    <row r="120" spans="1:21">
      <c r="A120" s="13">
        <v>45717</v>
      </c>
      <c r="B120" s="12">
        <v>123489256</v>
      </c>
      <c r="C120" s="12">
        <v>1971</v>
      </c>
      <c r="D120" s="12" t="s">
        <v>61</v>
      </c>
      <c r="E120" s="12" t="s">
        <v>33</v>
      </c>
      <c r="F120" s="12" t="s">
        <v>56</v>
      </c>
      <c r="G120" s="12" t="s">
        <v>57</v>
      </c>
      <c r="H120" s="12" t="s">
        <v>58</v>
      </c>
      <c r="I120" s="12" t="s">
        <v>45</v>
      </c>
      <c r="J120" s="12">
        <v>1.156</v>
      </c>
      <c r="K120" s="12" t="s">
        <v>59</v>
      </c>
      <c r="L120" s="12" t="s">
        <v>60</v>
      </c>
      <c r="M120" s="12" t="s">
        <v>48</v>
      </c>
      <c r="N120" s="12" t="s">
        <v>12</v>
      </c>
      <c r="O120" s="12" t="s">
        <v>6</v>
      </c>
      <c r="P120" s="12">
        <v>0</v>
      </c>
      <c r="Q120" s="12">
        <v>3</v>
      </c>
      <c r="R120" s="12" t="s">
        <v>13</v>
      </c>
      <c r="S120" s="12" t="s">
        <v>48</v>
      </c>
      <c r="T120" s="12" t="s">
        <v>48</v>
      </c>
      <c r="U120" s="12">
        <v>1311</v>
      </c>
    </row>
    <row r="121" spans="1:21">
      <c r="A121" s="13">
        <v>45689</v>
      </c>
      <c r="B121" s="12">
        <v>123532033</v>
      </c>
      <c r="C121" s="12">
        <v>1978</v>
      </c>
      <c r="D121" s="12" t="s">
        <v>83</v>
      </c>
      <c r="E121" s="12" t="s">
        <v>50</v>
      </c>
      <c r="F121" s="12" t="s">
        <v>69</v>
      </c>
      <c r="G121" s="12" t="s">
        <v>70</v>
      </c>
      <c r="H121" s="12" t="s">
        <v>58</v>
      </c>
      <c r="I121" s="12" t="s">
        <v>45</v>
      </c>
      <c r="J121" s="12">
        <v>0.942</v>
      </c>
      <c r="K121" s="12" t="s">
        <v>71</v>
      </c>
      <c r="L121" s="12" t="s">
        <v>39</v>
      </c>
      <c r="M121" s="12" t="s">
        <v>40</v>
      </c>
      <c r="N121" s="12" t="s">
        <v>14</v>
      </c>
      <c r="O121" s="12" t="s">
        <v>4</v>
      </c>
      <c r="P121" s="12">
        <v>1</v>
      </c>
      <c r="Q121" s="12">
        <v>2</v>
      </c>
      <c r="R121" s="12" t="s">
        <v>11</v>
      </c>
      <c r="S121" s="14">
        <v>0.522916666666667</v>
      </c>
      <c r="T121" s="12" t="s">
        <v>67</v>
      </c>
      <c r="U121" s="12">
        <v>3121</v>
      </c>
    </row>
    <row r="122" spans="1:21">
      <c r="A122" s="13">
        <v>45809</v>
      </c>
      <c r="B122" s="12">
        <v>123691888</v>
      </c>
      <c r="C122" s="12">
        <v>1999</v>
      </c>
      <c r="D122" s="12" t="s">
        <v>83</v>
      </c>
      <c r="E122" s="12" t="s">
        <v>50</v>
      </c>
      <c r="F122" s="12" t="s">
        <v>56</v>
      </c>
      <c r="G122" s="12" t="s">
        <v>57</v>
      </c>
      <c r="H122" s="12" t="s">
        <v>58</v>
      </c>
      <c r="I122" s="12" t="s">
        <v>45</v>
      </c>
      <c r="J122" s="12">
        <v>1.097</v>
      </c>
      <c r="K122" s="12" t="s">
        <v>59</v>
      </c>
      <c r="L122" s="12" t="s">
        <v>72</v>
      </c>
      <c r="M122" s="12" t="s">
        <v>95</v>
      </c>
      <c r="N122" s="12" t="s">
        <v>14</v>
      </c>
      <c r="O122" s="12" t="s">
        <v>5</v>
      </c>
      <c r="P122" s="12">
        <v>5</v>
      </c>
      <c r="Q122" s="12">
        <v>2</v>
      </c>
      <c r="R122" s="12" t="s">
        <v>11</v>
      </c>
      <c r="S122" s="14">
        <v>0.489583333333333</v>
      </c>
      <c r="T122" s="12" t="s">
        <v>41</v>
      </c>
      <c r="U122" s="12">
        <v>8301</v>
      </c>
    </row>
    <row r="123" spans="1:21">
      <c r="A123" s="13">
        <v>45901</v>
      </c>
      <c r="B123" s="12">
        <v>123715964</v>
      </c>
      <c r="C123" s="12">
        <v>2004</v>
      </c>
      <c r="D123" s="12" t="s">
        <v>61</v>
      </c>
      <c r="E123" s="12" t="s">
        <v>50</v>
      </c>
      <c r="F123" s="12" t="s">
        <v>51</v>
      </c>
      <c r="G123" s="12" t="s">
        <v>52</v>
      </c>
      <c r="H123" s="12" t="s">
        <v>53</v>
      </c>
      <c r="I123" s="12" t="s">
        <v>45</v>
      </c>
      <c r="J123" s="12">
        <v>1.092</v>
      </c>
      <c r="K123" s="12" t="s">
        <v>54</v>
      </c>
      <c r="L123" s="12" t="s">
        <v>39</v>
      </c>
      <c r="M123" s="12" t="s">
        <v>78</v>
      </c>
      <c r="N123" s="12" t="s">
        <v>14</v>
      </c>
      <c r="O123" s="12" t="s">
        <v>6</v>
      </c>
      <c r="P123" s="12">
        <v>0</v>
      </c>
      <c r="Q123" s="12">
        <v>3</v>
      </c>
      <c r="R123" s="12" t="s">
        <v>13</v>
      </c>
      <c r="S123" s="14">
        <v>0.381944444444444</v>
      </c>
      <c r="T123" s="12" t="s">
        <v>41</v>
      </c>
      <c r="U123" s="12">
        <v>1482</v>
      </c>
    </row>
    <row r="124" spans="1:21">
      <c r="A124" s="13">
        <v>45870</v>
      </c>
      <c r="B124" s="12">
        <v>123545825</v>
      </c>
      <c r="C124" s="12">
        <v>1995</v>
      </c>
      <c r="D124" s="12" t="s">
        <v>83</v>
      </c>
      <c r="E124" s="12" t="s">
        <v>33</v>
      </c>
      <c r="F124" s="12" t="s">
        <v>86</v>
      </c>
      <c r="G124" s="12" t="s">
        <v>87</v>
      </c>
      <c r="H124" s="12" t="s">
        <v>58</v>
      </c>
      <c r="I124" s="12" t="s">
        <v>45</v>
      </c>
      <c r="J124" s="12">
        <v>0.75</v>
      </c>
      <c r="K124" s="12" t="s">
        <v>88</v>
      </c>
      <c r="L124" s="12" t="s">
        <v>39</v>
      </c>
      <c r="M124" s="12" t="s">
        <v>78</v>
      </c>
      <c r="N124" s="12" t="s">
        <v>14</v>
      </c>
      <c r="O124" s="12" t="s">
        <v>6</v>
      </c>
      <c r="P124" s="12">
        <v>0</v>
      </c>
      <c r="Q124" s="12">
        <v>2</v>
      </c>
      <c r="R124" s="12" t="s">
        <v>11</v>
      </c>
      <c r="S124" s="12" t="s">
        <v>48</v>
      </c>
      <c r="T124" s="12" t="s">
        <v>48</v>
      </c>
      <c r="U124" s="12">
        <v>1259</v>
      </c>
    </row>
    <row r="125" spans="1:21">
      <c r="A125" s="13">
        <v>45809</v>
      </c>
      <c r="B125" s="12">
        <v>123682787</v>
      </c>
      <c r="C125" s="12">
        <v>1995</v>
      </c>
      <c r="D125" s="12" t="s">
        <v>74</v>
      </c>
      <c r="E125" s="12" t="s">
        <v>50</v>
      </c>
      <c r="F125" s="12" t="s">
        <v>69</v>
      </c>
      <c r="G125" s="12" t="s">
        <v>70</v>
      </c>
      <c r="H125" s="12" t="s">
        <v>58</v>
      </c>
      <c r="I125" s="12" t="s">
        <v>45</v>
      </c>
      <c r="J125" s="12">
        <v>1.002</v>
      </c>
      <c r="K125" s="12" t="s">
        <v>71</v>
      </c>
      <c r="L125" s="12" t="s">
        <v>84</v>
      </c>
      <c r="M125" s="12" t="s">
        <v>85</v>
      </c>
      <c r="N125" s="12" t="s">
        <v>14</v>
      </c>
      <c r="O125" s="12" t="s">
        <v>5</v>
      </c>
      <c r="P125" s="12">
        <v>4</v>
      </c>
      <c r="Q125" s="12">
        <v>2</v>
      </c>
      <c r="R125" s="12" t="s">
        <v>11</v>
      </c>
      <c r="S125" s="14">
        <v>0.601388888888889</v>
      </c>
      <c r="T125" s="12" t="s">
        <v>67</v>
      </c>
      <c r="U125" s="12">
        <v>36156</v>
      </c>
    </row>
    <row r="126" spans="1:21">
      <c r="A126" s="13">
        <v>45962</v>
      </c>
      <c r="B126" s="12">
        <v>123784671</v>
      </c>
      <c r="C126" s="12">
        <v>1999</v>
      </c>
      <c r="D126" s="12" t="s">
        <v>83</v>
      </c>
      <c r="E126" s="12" t="s">
        <v>50</v>
      </c>
      <c r="F126" s="12" t="s">
        <v>91</v>
      </c>
      <c r="G126" s="12" t="s">
        <v>92</v>
      </c>
      <c r="H126" s="12" t="s">
        <v>58</v>
      </c>
      <c r="I126" s="12" t="s">
        <v>45</v>
      </c>
      <c r="J126" s="12">
        <v>1.118</v>
      </c>
      <c r="K126" s="12" t="s">
        <v>93</v>
      </c>
      <c r="L126" s="12" t="s">
        <v>72</v>
      </c>
      <c r="M126" s="12" t="s">
        <v>95</v>
      </c>
      <c r="N126" s="12" t="s">
        <v>14</v>
      </c>
      <c r="O126" s="12" t="s">
        <v>5</v>
      </c>
      <c r="P126" s="12">
        <v>5</v>
      </c>
      <c r="Q126" s="12">
        <v>1</v>
      </c>
      <c r="R126" s="12" t="s">
        <v>11</v>
      </c>
      <c r="S126" s="14">
        <v>0.727777777777778</v>
      </c>
      <c r="T126" s="12" t="s">
        <v>67</v>
      </c>
      <c r="U126" s="12">
        <v>74696</v>
      </c>
    </row>
    <row r="127" spans="1:21">
      <c r="A127" s="13">
        <v>45839</v>
      </c>
      <c r="B127" s="12">
        <v>123582517</v>
      </c>
      <c r="C127" s="12">
        <v>1986</v>
      </c>
      <c r="D127" s="12" t="s">
        <v>83</v>
      </c>
      <c r="E127" s="12" t="s">
        <v>33</v>
      </c>
      <c r="F127" s="12" t="s">
        <v>80</v>
      </c>
      <c r="G127" s="12" t="s">
        <v>81</v>
      </c>
      <c r="H127" s="12" t="s">
        <v>36</v>
      </c>
      <c r="I127" s="12" t="s">
        <v>45</v>
      </c>
      <c r="J127" s="12">
        <v>0.832</v>
      </c>
      <c r="K127" s="12" t="s">
        <v>82</v>
      </c>
      <c r="L127" s="12" t="s">
        <v>84</v>
      </c>
      <c r="M127" s="12" t="s">
        <v>89</v>
      </c>
      <c r="N127" s="12" t="s">
        <v>14</v>
      </c>
      <c r="O127" s="12" t="s">
        <v>6</v>
      </c>
      <c r="P127" s="12">
        <v>0</v>
      </c>
      <c r="Q127" s="12">
        <v>2</v>
      </c>
      <c r="R127" s="12" t="s">
        <v>11</v>
      </c>
      <c r="S127" s="12" t="s">
        <v>48</v>
      </c>
      <c r="T127" s="12" t="s">
        <v>48</v>
      </c>
      <c r="U127" s="12">
        <v>416</v>
      </c>
    </row>
    <row r="128" spans="1:21">
      <c r="A128" s="13">
        <v>45658</v>
      </c>
      <c r="B128" s="12">
        <v>123640000</v>
      </c>
      <c r="C128" s="12">
        <v>1988</v>
      </c>
      <c r="D128" s="12" t="s">
        <v>83</v>
      </c>
      <c r="E128" s="12" t="s">
        <v>50</v>
      </c>
      <c r="F128" s="12" t="s">
        <v>91</v>
      </c>
      <c r="G128" s="12" t="s">
        <v>92</v>
      </c>
      <c r="H128" s="12" t="s">
        <v>58</v>
      </c>
      <c r="I128" s="12" t="s">
        <v>45</v>
      </c>
      <c r="J128" s="12">
        <v>1.061</v>
      </c>
      <c r="K128" s="12" t="s">
        <v>93</v>
      </c>
      <c r="L128" s="12" t="s">
        <v>39</v>
      </c>
      <c r="M128" s="12" t="s">
        <v>78</v>
      </c>
      <c r="N128" s="12" t="s">
        <v>14</v>
      </c>
      <c r="O128" s="12" t="s">
        <v>5</v>
      </c>
      <c r="P128" s="12">
        <v>3</v>
      </c>
      <c r="Q128" s="12">
        <v>2</v>
      </c>
      <c r="R128" s="12" t="s">
        <v>11</v>
      </c>
      <c r="S128" s="14">
        <v>0.713194444444444</v>
      </c>
      <c r="T128" s="12" t="s">
        <v>67</v>
      </c>
      <c r="U128" s="12">
        <v>57511</v>
      </c>
    </row>
    <row r="129" spans="1:21">
      <c r="A129" s="13">
        <v>45931</v>
      </c>
      <c r="B129" s="12">
        <v>123655926</v>
      </c>
      <c r="C129" s="12">
        <v>1955</v>
      </c>
      <c r="D129" s="12" t="s">
        <v>83</v>
      </c>
      <c r="E129" s="12" t="s">
        <v>50</v>
      </c>
      <c r="F129" s="12" t="s">
        <v>80</v>
      </c>
      <c r="G129" s="12" t="s">
        <v>81</v>
      </c>
      <c r="H129" s="12" t="s">
        <v>36</v>
      </c>
      <c r="I129" s="12" t="s">
        <v>45</v>
      </c>
      <c r="J129" s="12">
        <v>1.169</v>
      </c>
      <c r="K129" s="12" t="s">
        <v>82</v>
      </c>
      <c r="L129" s="12" t="s">
        <v>99</v>
      </c>
      <c r="M129" s="12" t="s">
        <v>48</v>
      </c>
      <c r="N129" s="12" t="s">
        <v>12</v>
      </c>
      <c r="O129" s="12" t="s">
        <v>5</v>
      </c>
      <c r="P129" s="12">
        <v>6</v>
      </c>
      <c r="Q129" s="12">
        <v>1</v>
      </c>
      <c r="R129" s="12" t="s">
        <v>11</v>
      </c>
      <c r="S129" s="14">
        <v>0.809027777777778</v>
      </c>
      <c r="T129" s="12" t="s">
        <v>67</v>
      </c>
      <c r="U129" s="12">
        <v>30880</v>
      </c>
    </row>
    <row r="130" spans="1:21">
      <c r="A130" s="13">
        <v>45839</v>
      </c>
      <c r="B130" s="12">
        <v>123730748</v>
      </c>
      <c r="C130" s="12">
        <v>1981</v>
      </c>
      <c r="D130" s="12" t="s">
        <v>61</v>
      </c>
      <c r="E130" s="12" t="s">
        <v>50</v>
      </c>
      <c r="F130" s="12" t="s">
        <v>62</v>
      </c>
      <c r="G130" s="12" t="s">
        <v>63</v>
      </c>
      <c r="H130" s="12" t="s">
        <v>58</v>
      </c>
      <c r="I130" s="12" t="s">
        <v>45</v>
      </c>
      <c r="J130" s="12">
        <v>0.974</v>
      </c>
      <c r="K130" s="12" t="s">
        <v>64</v>
      </c>
      <c r="L130" s="12" t="s">
        <v>99</v>
      </c>
      <c r="M130" s="12" t="s">
        <v>48</v>
      </c>
      <c r="N130" s="12" t="s">
        <v>12</v>
      </c>
      <c r="O130" s="12" t="s">
        <v>5</v>
      </c>
      <c r="P130" s="12">
        <v>4</v>
      </c>
      <c r="Q130" s="12">
        <v>2</v>
      </c>
      <c r="R130" s="12" t="s">
        <v>11</v>
      </c>
      <c r="S130" s="14">
        <v>0.461111111111111</v>
      </c>
      <c r="T130" s="12" t="s">
        <v>41</v>
      </c>
      <c r="U130" s="12">
        <v>69976</v>
      </c>
    </row>
    <row r="131" spans="1:21">
      <c r="A131" s="13">
        <v>45870</v>
      </c>
      <c r="B131" s="12">
        <v>123655317</v>
      </c>
      <c r="C131" s="12">
        <v>1988</v>
      </c>
      <c r="D131" s="12" t="s">
        <v>61</v>
      </c>
      <c r="E131" s="12" t="s">
        <v>50</v>
      </c>
      <c r="F131" s="12" t="s">
        <v>62</v>
      </c>
      <c r="G131" s="12" t="s">
        <v>63</v>
      </c>
      <c r="H131" s="12" t="s">
        <v>58</v>
      </c>
      <c r="I131" s="12" t="s">
        <v>37</v>
      </c>
      <c r="J131" s="12">
        <v>1</v>
      </c>
      <c r="K131" s="12" t="s">
        <v>64</v>
      </c>
      <c r="L131" s="12" t="s">
        <v>72</v>
      </c>
      <c r="M131" s="12" t="s">
        <v>95</v>
      </c>
      <c r="N131" s="12" t="s">
        <v>14</v>
      </c>
      <c r="O131" s="12" t="s">
        <v>6</v>
      </c>
      <c r="P131" s="12">
        <v>0</v>
      </c>
      <c r="Q131" s="12">
        <v>2</v>
      </c>
      <c r="R131" s="12" t="s">
        <v>11</v>
      </c>
      <c r="S131" s="12" t="s">
        <v>48</v>
      </c>
      <c r="T131" s="12" t="s">
        <v>48</v>
      </c>
      <c r="U131" s="12">
        <v>1011</v>
      </c>
    </row>
    <row r="132" spans="1:21">
      <c r="A132" s="13">
        <v>45839</v>
      </c>
      <c r="B132" s="12">
        <v>123856897</v>
      </c>
      <c r="C132" s="12">
        <v>1998</v>
      </c>
      <c r="D132" s="12" t="s">
        <v>83</v>
      </c>
      <c r="E132" s="12" t="s">
        <v>50</v>
      </c>
      <c r="F132" s="12" t="s">
        <v>34</v>
      </c>
      <c r="G132" s="12" t="s">
        <v>35</v>
      </c>
      <c r="H132" s="12" t="s">
        <v>36</v>
      </c>
      <c r="I132" s="12" t="s">
        <v>45</v>
      </c>
      <c r="J132" s="12">
        <v>0.87</v>
      </c>
      <c r="K132" s="12" t="s">
        <v>38</v>
      </c>
      <c r="L132" s="12" t="s">
        <v>60</v>
      </c>
      <c r="M132" s="12" t="s">
        <v>48</v>
      </c>
      <c r="N132" s="12" t="s">
        <v>12</v>
      </c>
      <c r="O132" s="12" t="s">
        <v>6</v>
      </c>
      <c r="P132" s="12">
        <v>0</v>
      </c>
      <c r="Q132" s="12">
        <v>2</v>
      </c>
      <c r="R132" s="12" t="s">
        <v>11</v>
      </c>
      <c r="S132" s="12" t="s">
        <v>48</v>
      </c>
      <c r="T132" s="12" t="s">
        <v>48</v>
      </c>
      <c r="U132" s="12">
        <v>265</v>
      </c>
    </row>
    <row r="133" spans="1:21">
      <c r="A133" s="13">
        <v>45839</v>
      </c>
      <c r="B133" s="12">
        <v>123634157</v>
      </c>
      <c r="C133" s="12">
        <v>2005</v>
      </c>
      <c r="D133" s="12" t="s">
        <v>79</v>
      </c>
      <c r="E133" s="12" t="s">
        <v>33</v>
      </c>
      <c r="F133" s="12" t="s">
        <v>75</v>
      </c>
      <c r="G133" s="12" t="s">
        <v>76</v>
      </c>
      <c r="H133" s="12" t="s">
        <v>53</v>
      </c>
      <c r="I133" s="12" t="s">
        <v>37</v>
      </c>
      <c r="J133" s="12">
        <v>1.123</v>
      </c>
      <c r="K133" s="12" t="s">
        <v>77</v>
      </c>
      <c r="L133" s="12" t="s">
        <v>39</v>
      </c>
      <c r="M133" s="12" t="s">
        <v>47</v>
      </c>
      <c r="N133" s="12" t="s">
        <v>14</v>
      </c>
      <c r="O133" s="12" t="s">
        <v>4</v>
      </c>
      <c r="P133" s="12">
        <v>1</v>
      </c>
      <c r="Q133" s="12">
        <v>1</v>
      </c>
      <c r="R133" s="12" t="s">
        <v>11</v>
      </c>
      <c r="S133" s="14">
        <v>0.297916666666667</v>
      </c>
      <c r="T133" s="12" t="s">
        <v>41</v>
      </c>
      <c r="U133" s="12">
        <v>1486</v>
      </c>
    </row>
    <row r="134" spans="1:21">
      <c r="A134" s="13">
        <v>45689</v>
      </c>
      <c r="B134" s="12">
        <v>123692039</v>
      </c>
      <c r="C134" s="12">
        <v>1977</v>
      </c>
      <c r="D134" s="12" t="s">
        <v>49</v>
      </c>
      <c r="E134" s="12" t="s">
        <v>33</v>
      </c>
      <c r="F134" s="12" t="s">
        <v>69</v>
      </c>
      <c r="G134" s="12" t="s">
        <v>70</v>
      </c>
      <c r="H134" s="12" t="s">
        <v>58</v>
      </c>
      <c r="I134" s="12" t="s">
        <v>45</v>
      </c>
      <c r="J134" s="12">
        <v>0.992</v>
      </c>
      <c r="K134" s="12" t="s">
        <v>71</v>
      </c>
      <c r="L134" s="12" t="s">
        <v>65</v>
      </c>
      <c r="M134" s="12" t="s">
        <v>66</v>
      </c>
      <c r="N134" s="12" t="s">
        <v>14</v>
      </c>
      <c r="O134" s="12" t="s">
        <v>6</v>
      </c>
      <c r="P134" s="12">
        <v>0</v>
      </c>
      <c r="Q134" s="12">
        <v>2</v>
      </c>
      <c r="R134" s="12" t="s">
        <v>11</v>
      </c>
      <c r="S134" s="12" t="s">
        <v>48</v>
      </c>
      <c r="T134" s="12" t="s">
        <v>48</v>
      </c>
      <c r="U134" s="12">
        <v>601</v>
      </c>
    </row>
    <row r="135" spans="1:21">
      <c r="A135" s="13">
        <v>45839</v>
      </c>
      <c r="B135" s="12">
        <v>123662428</v>
      </c>
      <c r="C135" s="12">
        <v>1990</v>
      </c>
      <c r="D135" s="12" t="s">
        <v>49</v>
      </c>
      <c r="E135" s="12" t="s">
        <v>33</v>
      </c>
      <c r="F135" s="12" t="s">
        <v>91</v>
      </c>
      <c r="G135" s="12" t="s">
        <v>92</v>
      </c>
      <c r="H135" s="12" t="s">
        <v>58</v>
      </c>
      <c r="I135" s="12" t="s">
        <v>45</v>
      </c>
      <c r="J135" s="12">
        <v>1.035</v>
      </c>
      <c r="K135" s="12" t="s">
        <v>93</v>
      </c>
      <c r="L135" s="12" t="s">
        <v>60</v>
      </c>
      <c r="M135" s="12" t="s">
        <v>48</v>
      </c>
      <c r="N135" s="12" t="s">
        <v>12</v>
      </c>
      <c r="O135" s="12" t="s">
        <v>6</v>
      </c>
      <c r="P135" s="12">
        <v>0</v>
      </c>
      <c r="Q135" s="12">
        <v>1</v>
      </c>
      <c r="R135" s="12" t="s">
        <v>13</v>
      </c>
      <c r="S135" s="12" t="s">
        <v>48</v>
      </c>
      <c r="T135" s="12" t="s">
        <v>48</v>
      </c>
      <c r="U135" s="12">
        <v>395</v>
      </c>
    </row>
    <row r="136" spans="1:21">
      <c r="A136" s="13">
        <v>45931</v>
      </c>
      <c r="B136" s="12">
        <v>123555506</v>
      </c>
      <c r="C136" s="12">
        <v>1957</v>
      </c>
      <c r="D136" s="12" t="s">
        <v>68</v>
      </c>
      <c r="E136" s="12" t="s">
        <v>33</v>
      </c>
      <c r="F136" s="12" t="s">
        <v>75</v>
      </c>
      <c r="G136" s="12" t="s">
        <v>76</v>
      </c>
      <c r="H136" s="12" t="s">
        <v>53</v>
      </c>
      <c r="I136" s="12" t="s">
        <v>45</v>
      </c>
      <c r="J136" s="12">
        <v>1.165</v>
      </c>
      <c r="K136" s="12" t="s">
        <v>77</v>
      </c>
      <c r="L136" s="12" t="s">
        <v>65</v>
      </c>
      <c r="M136" s="12" t="s">
        <v>96</v>
      </c>
      <c r="N136" s="12" t="s">
        <v>14</v>
      </c>
      <c r="O136" s="12" t="s">
        <v>6</v>
      </c>
      <c r="P136" s="12">
        <v>0</v>
      </c>
      <c r="Q136" s="12">
        <v>1</v>
      </c>
      <c r="R136" s="12" t="s">
        <v>13</v>
      </c>
      <c r="S136" s="12" t="s">
        <v>48</v>
      </c>
      <c r="T136" s="12" t="s">
        <v>48</v>
      </c>
      <c r="U136" s="12">
        <v>1915</v>
      </c>
    </row>
    <row r="137" spans="1:21">
      <c r="A137" s="13">
        <v>45748</v>
      </c>
      <c r="B137" s="12">
        <v>123829043</v>
      </c>
      <c r="C137" s="12">
        <v>1955</v>
      </c>
      <c r="D137" s="12" t="s">
        <v>98</v>
      </c>
      <c r="E137" s="12" t="s">
        <v>50</v>
      </c>
      <c r="F137" s="12" t="s">
        <v>80</v>
      </c>
      <c r="G137" s="12" t="s">
        <v>81</v>
      </c>
      <c r="H137" s="12" t="s">
        <v>36</v>
      </c>
      <c r="I137" s="12" t="s">
        <v>45</v>
      </c>
      <c r="J137" s="12">
        <v>1.066</v>
      </c>
      <c r="K137" s="12" t="s">
        <v>82</v>
      </c>
      <c r="L137" s="12" t="s">
        <v>65</v>
      </c>
      <c r="M137" s="12" t="s">
        <v>96</v>
      </c>
      <c r="N137" s="12" t="s">
        <v>14</v>
      </c>
      <c r="O137" s="12" t="s">
        <v>6</v>
      </c>
      <c r="P137" s="12">
        <v>0</v>
      </c>
      <c r="Q137" s="12">
        <v>2</v>
      </c>
      <c r="R137" s="12" t="s">
        <v>11</v>
      </c>
      <c r="S137" s="12" t="s">
        <v>48</v>
      </c>
      <c r="T137" s="12" t="s">
        <v>48</v>
      </c>
      <c r="U137" s="12">
        <v>680</v>
      </c>
    </row>
    <row r="138" spans="1:21">
      <c r="A138" s="13">
        <v>45870</v>
      </c>
      <c r="B138" s="12">
        <v>123584082</v>
      </c>
      <c r="C138" s="12">
        <v>1994</v>
      </c>
      <c r="D138" s="12" t="s">
        <v>83</v>
      </c>
      <c r="E138" s="12" t="s">
        <v>50</v>
      </c>
      <c r="F138" s="12" t="s">
        <v>80</v>
      </c>
      <c r="G138" s="12" t="s">
        <v>81</v>
      </c>
      <c r="H138" s="12" t="s">
        <v>36</v>
      </c>
      <c r="I138" s="12" t="s">
        <v>37</v>
      </c>
      <c r="J138" s="12">
        <v>0.922</v>
      </c>
      <c r="K138" s="12" t="s">
        <v>82</v>
      </c>
      <c r="L138" s="12" t="s">
        <v>72</v>
      </c>
      <c r="M138" s="12" t="s">
        <v>95</v>
      </c>
      <c r="N138" s="12" t="s">
        <v>14</v>
      </c>
      <c r="O138" s="12" t="s">
        <v>5</v>
      </c>
      <c r="P138" s="12">
        <v>3</v>
      </c>
      <c r="Q138" s="12">
        <v>1</v>
      </c>
      <c r="R138" s="12" t="s">
        <v>11</v>
      </c>
      <c r="S138" s="14">
        <v>0.568055555555556</v>
      </c>
      <c r="T138" s="12" t="s">
        <v>67</v>
      </c>
      <c r="U138" s="12">
        <v>22764</v>
      </c>
    </row>
    <row r="139" spans="1:21">
      <c r="A139" s="13">
        <v>45658</v>
      </c>
      <c r="B139" s="12">
        <v>123617500</v>
      </c>
      <c r="C139" s="12">
        <v>1980</v>
      </c>
      <c r="D139" s="12" t="s">
        <v>97</v>
      </c>
      <c r="E139" s="12" t="s">
        <v>33</v>
      </c>
      <c r="F139" s="12" t="s">
        <v>86</v>
      </c>
      <c r="G139" s="12" t="s">
        <v>87</v>
      </c>
      <c r="H139" s="12" t="s">
        <v>58</v>
      </c>
      <c r="I139" s="12" t="s">
        <v>45</v>
      </c>
      <c r="J139" s="12">
        <v>0.965</v>
      </c>
      <c r="K139" s="12" t="s">
        <v>88</v>
      </c>
      <c r="L139" s="12" t="s">
        <v>65</v>
      </c>
      <c r="M139" s="12" t="s">
        <v>66</v>
      </c>
      <c r="N139" s="12" t="s">
        <v>14</v>
      </c>
      <c r="O139" s="12" t="s">
        <v>6</v>
      </c>
      <c r="P139" s="12">
        <v>0</v>
      </c>
      <c r="Q139" s="12">
        <v>1</v>
      </c>
      <c r="R139" s="12" t="s">
        <v>13</v>
      </c>
      <c r="S139" s="12" t="s">
        <v>48</v>
      </c>
      <c r="T139" s="12" t="s">
        <v>48</v>
      </c>
      <c r="U139" s="12">
        <v>648</v>
      </c>
    </row>
    <row r="140" spans="1:21">
      <c r="A140" s="13">
        <v>45778</v>
      </c>
      <c r="B140" s="12">
        <v>123887256</v>
      </c>
      <c r="C140" s="12">
        <v>1994</v>
      </c>
      <c r="D140" s="12" t="s">
        <v>97</v>
      </c>
      <c r="E140" s="12" t="s">
        <v>50</v>
      </c>
      <c r="F140" s="12" t="s">
        <v>56</v>
      </c>
      <c r="G140" s="12" t="s">
        <v>57</v>
      </c>
      <c r="H140" s="12" t="s">
        <v>58</v>
      </c>
      <c r="I140" s="12" t="s">
        <v>45</v>
      </c>
      <c r="J140" s="12">
        <v>1.099</v>
      </c>
      <c r="K140" s="12" t="s">
        <v>59</v>
      </c>
      <c r="L140" s="12" t="s">
        <v>84</v>
      </c>
      <c r="M140" s="12" t="s">
        <v>85</v>
      </c>
      <c r="N140" s="12" t="s">
        <v>14</v>
      </c>
      <c r="O140" s="12" t="s">
        <v>5</v>
      </c>
      <c r="P140" s="12">
        <v>3</v>
      </c>
      <c r="Q140" s="12">
        <v>2</v>
      </c>
      <c r="R140" s="12" t="s">
        <v>11</v>
      </c>
      <c r="S140" s="14">
        <v>0.68125</v>
      </c>
      <c r="T140" s="12" t="s">
        <v>67</v>
      </c>
      <c r="U140" s="12">
        <v>53926</v>
      </c>
    </row>
    <row r="141" spans="1:21">
      <c r="A141" s="13">
        <v>45809</v>
      </c>
      <c r="B141" s="12">
        <v>123972177</v>
      </c>
      <c r="C141" s="12">
        <v>1990</v>
      </c>
      <c r="D141" s="12" t="s">
        <v>32</v>
      </c>
      <c r="E141" s="12" t="s">
        <v>33</v>
      </c>
      <c r="F141" s="12" t="s">
        <v>86</v>
      </c>
      <c r="G141" s="12" t="s">
        <v>87</v>
      </c>
      <c r="H141" s="12" t="s">
        <v>58</v>
      </c>
      <c r="I141" s="12" t="s">
        <v>45</v>
      </c>
      <c r="J141" s="12">
        <v>0.968</v>
      </c>
      <c r="K141" s="12" t="s">
        <v>88</v>
      </c>
      <c r="L141" s="12" t="s">
        <v>39</v>
      </c>
      <c r="M141" s="12" t="s">
        <v>47</v>
      </c>
      <c r="N141" s="12" t="s">
        <v>14</v>
      </c>
      <c r="O141" s="12" t="s">
        <v>6</v>
      </c>
      <c r="P141" s="12">
        <v>0</v>
      </c>
      <c r="Q141" s="12">
        <v>1</v>
      </c>
      <c r="R141" s="12" t="s">
        <v>13</v>
      </c>
      <c r="S141" s="12" t="s">
        <v>48</v>
      </c>
      <c r="T141" s="12" t="s">
        <v>48</v>
      </c>
      <c r="U141" s="12">
        <v>1453</v>
      </c>
    </row>
    <row r="142" spans="1:21">
      <c r="A142" s="13">
        <v>45992</v>
      </c>
      <c r="B142" s="12">
        <v>123820938</v>
      </c>
      <c r="C142" s="12">
        <v>1998</v>
      </c>
      <c r="D142" s="12" t="s">
        <v>32</v>
      </c>
      <c r="E142" s="12" t="s">
        <v>33</v>
      </c>
      <c r="F142" s="12" t="s">
        <v>43</v>
      </c>
      <c r="G142" s="12" t="s">
        <v>44</v>
      </c>
      <c r="H142" s="12" t="s">
        <v>36</v>
      </c>
      <c r="I142" s="12" t="s">
        <v>45</v>
      </c>
      <c r="J142" s="12">
        <v>0.898</v>
      </c>
      <c r="K142" s="12" t="s">
        <v>46</v>
      </c>
      <c r="L142" s="12" t="s">
        <v>39</v>
      </c>
      <c r="M142" s="12" t="s">
        <v>40</v>
      </c>
      <c r="N142" s="12" t="s">
        <v>14</v>
      </c>
      <c r="O142" s="12" t="s">
        <v>6</v>
      </c>
      <c r="P142" s="12">
        <v>0</v>
      </c>
      <c r="Q142" s="12">
        <v>3</v>
      </c>
      <c r="R142" s="12" t="s">
        <v>13</v>
      </c>
      <c r="S142" s="14">
        <v>0.794444444444444</v>
      </c>
      <c r="T142" s="12" t="s">
        <v>67</v>
      </c>
      <c r="U142" s="12">
        <v>2806</v>
      </c>
    </row>
    <row r="143" spans="1:21">
      <c r="A143" s="13">
        <v>45717</v>
      </c>
      <c r="B143" s="12">
        <v>123954492</v>
      </c>
      <c r="C143" s="12">
        <v>2002</v>
      </c>
      <c r="D143" s="12" t="s">
        <v>42</v>
      </c>
      <c r="E143" s="12" t="s">
        <v>50</v>
      </c>
      <c r="F143" s="12" t="s">
        <v>43</v>
      </c>
      <c r="G143" s="12" t="s">
        <v>44</v>
      </c>
      <c r="H143" s="12" t="s">
        <v>36</v>
      </c>
      <c r="I143" s="12" t="s">
        <v>45</v>
      </c>
      <c r="J143" s="12">
        <v>1.035</v>
      </c>
      <c r="K143" s="12" t="s">
        <v>46</v>
      </c>
      <c r="L143" s="12" t="s">
        <v>65</v>
      </c>
      <c r="M143" s="12" t="s">
        <v>66</v>
      </c>
      <c r="N143" s="12" t="s">
        <v>14</v>
      </c>
      <c r="O143" s="12" t="s">
        <v>6</v>
      </c>
      <c r="P143" s="12">
        <v>0</v>
      </c>
      <c r="Q143" s="12">
        <v>3</v>
      </c>
      <c r="R143" s="12" t="s">
        <v>11</v>
      </c>
      <c r="S143" s="12" t="s">
        <v>48</v>
      </c>
      <c r="T143" s="12" t="s">
        <v>48</v>
      </c>
      <c r="U143" s="12">
        <v>1031</v>
      </c>
    </row>
    <row r="144" spans="1:21">
      <c r="A144" s="13">
        <v>45748</v>
      </c>
      <c r="B144" s="12">
        <v>123920678</v>
      </c>
      <c r="C144" s="12">
        <v>1960</v>
      </c>
      <c r="D144" s="12" t="s">
        <v>97</v>
      </c>
      <c r="E144" s="12" t="s">
        <v>50</v>
      </c>
      <c r="F144" s="12" t="s">
        <v>91</v>
      </c>
      <c r="G144" s="12" t="s">
        <v>92</v>
      </c>
      <c r="H144" s="12" t="s">
        <v>58</v>
      </c>
      <c r="I144" s="12" t="s">
        <v>37</v>
      </c>
      <c r="J144" s="12">
        <v>0.972</v>
      </c>
      <c r="K144" s="12" t="s">
        <v>93</v>
      </c>
      <c r="L144" s="12" t="s">
        <v>84</v>
      </c>
      <c r="M144" s="12" t="s">
        <v>85</v>
      </c>
      <c r="N144" s="12" t="s">
        <v>14</v>
      </c>
      <c r="O144" s="12" t="s">
        <v>5</v>
      </c>
      <c r="P144" s="12">
        <v>3</v>
      </c>
      <c r="Q144" s="12">
        <v>2</v>
      </c>
      <c r="R144" s="12" t="s">
        <v>13</v>
      </c>
      <c r="S144" s="14">
        <v>0.427777777777778</v>
      </c>
      <c r="T144" s="12" t="s">
        <v>41</v>
      </c>
      <c r="U144" s="12">
        <v>56370</v>
      </c>
    </row>
    <row r="145" spans="1:21">
      <c r="A145" s="13">
        <v>45778</v>
      </c>
      <c r="B145" s="12">
        <v>123717614</v>
      </c>
      <c r="C145" s="12">
        <v>1966</v>
      </c>
      <c r="D145" s="12" t="s">
        <v>97</v>
      </c>
      <c r="E145" s="12" t="s">
        <v>50</v>
      </c>
      <c r="F145" s="12" t="s">
        <v>56</v>
      </c>
      <c r="G145" s="12" t="s">
        <v>57</v>
      </c>
      <c r="H145" s="12" t="s">
        <v>58</v>
      </c>
      <c r="I145" s="12" t="s">
        <v>45</v>
      </c>
      <c r="J145" s="12">
        <v>1.202</v>
      </c>
      <c r="K145" s="12" t="s">
        <v>59</v>
      </c>
      <c r="L145" s="12" t="s">
        <v>72</v>
      </c>
      <c r="M145" s="12" t="s">
        <v>73</v>
      </c>
      <c r="N145" s="12" t="s">
        <v>14</v>
      </c>
      <c r="O145" s="12" t="s">
        <v>6</v>
      </c>
      <c r="P145" s="12">
        <v>0</v>
      </c>
      <c r="Q145" s="12">
        <v>3</v>
      </c>
      <c r="R145" s="12" t="s">
        <v>11</v>
      </c>
      <c r="S145" s="12" t="s">
        <v>48</v>
      </c>
      <c r="T145" s="12" t="s">
        <v>48</v>
      </c>
      <c r="U145" s="12">
        <v>1003</v>
      </c>
    </row>
    <row r="146" spans="1:21">
      <c r="A146" s="13">
        <v>45992</v>
      </c>
      <c r="B146" s="12">
        <v>123875037</v>
      </c>
      <c r="C146" s="12">
        <v>1989</v>
      </c>
      <c r="D146" s="12" t="s">
        <v>83</v>
      </c>
      <c r="E146" s="12" t="s">
        <v>50</v>
      </c>
      <c r="F146" s="12" t="s">
        <v>62</v>
      </c>
      <c r="G146" s="12" t="s">
        <v>63</v>
      </c>
      <c r="H146" s="12" t="s">
        <v>58</v>
      </c>
      <c r="I146" s="12" t="s">
        <v>37</v>
      </c>
      <c r="J146" s="12">
        <v>1.128</v>
      </c>
      <c r="K146" s="12" t="s">
        <v>64</v>
      </c>
      <c r="L146" s="12" t="s">
        <v>60</v>
      </c>
      <c r="M146" s="12" t="s">
        <v>48</v>
      </c>
      <c r="N146" s="12" t="s">
        <v>12</v>
      </c>
      <c r="O146" s="12" t="s">
        <v>6</v>
      </c>
      <c r="P146" s="12">
        <v>0</v>
      </c>
      <c r="Q146" s="12">
        <v>3</v>
      </c>
      <c r="R146" s="12" t="s">
        <v>13</v>
      </c>
      <c r="S146" s="14">
        <v>0.746527777777778</v>
      </c>
      <c r="T146" s="12" t="s">
        <v>67</v>
      </c>
      <c r="U146" s="12">
        <v>1653</v>
      </c>
    </row>
    <row r="147" spans="1:21">
      <c r="A147" s="13">
        <v>45962</v>
      </c>
      <c r="B147" s="12">
        <v>123634628</v>
      </c>
      <c r="C147" s="12">
        <v>1991</v>
      </c>
      <c r="D147" s="12" t="s">
        <v>49</v>
      </c>
      <c r="E147" s="12" t="s">
        <v>50</v>
      </c>
      <c r="F147" s="12" t="s">
        <v>69</v>
      </c>
      <c r="G147" s="12" t="s">
        <v>70</v>
      </c>
      <c r="H147" s="12" t="s">
        <v>58</v>
      </c>
      <c r="I147" s="12" t="s">
        <v>45</v>
      </c>
      <c r="J147" s="12">
        <v>0.919</v>
      </c>
      <c r="K147" s="12" t="s">
        <v>71</v>
      </c>
      <c r="L147" s="12" t="s">
        <v>84</v>
      </c>
      <c r="M147" s="12" t="s">
        <v>89</v>
      </c>
      <c r="N147" s="12" t="s">
        <v>14</v>
      </c>
      <c r="O147" s="12" t="s">
        <v>5</v>
      </c>
      <c r="P147" s="12">
        <v>4</v>
      </c>
      <c r="Q147" s="12">
        <v>1</v>
      </c>
      <c r="R147" s="12" t="s">
        <v>11</v>
      </c>
      <c r="S147" s="14">
        <v>0.415972222222222</v>
      </c>
      <c r="T147" s="12" t="s">
        <v>41</v>
      </c>
      <c r="U147" s="12">
        <v>8089</v>
      </c>
    </row>
    <row r="148" spans="1:21">
      <c r="A148" s="13">
        <v>45658</v>
      </c>
      <c r="B148" s="12">
        <v>123706509</v>
      </c>
      <c r="C148" s="12">
        <v>1969</v>
      </c>
      <c r="D148" s="12" t="s">
        <v>61</v>
      </c>
      <c r="E148" s="12" t="s">
        <v>50</v>
      </c>
      <c r="F148" s="12" t="s">
        <v>43</v>
      </c>
      <c r="G148" s="12" t="s">
        <v>44</v>
      </c>
      <c r="H148" s="12" t="s">
        <v>36</v>
      </c>
      <c r="I148" s="12" t="s">
        <v>45</v>
      </c>
      <c r="J148" s="12">
        <v>1</v>
      </c>
      <c r="K148" s="12" t="s">
        <v>46</v>
      </c>
      <c r="L148" s="12" t="s">
        <v>39</v>
      </c>
      <c r="M148" s="12" t="s">
        <v>47</v>
      </c>
      <c r="N148" s="12" t="s">
        <v>14</v>
      </c>
      <c r="O148" s="12" t="s">
        <v>6</v>
      </c>
      <c r="P148" s="12">
        <v>0</v>
      </c>
      <c r="Q148" s="12">
        <v>2</v>
      </c>
      <c r="R148" s="12" t="s">
        <v>13</v>
      </c>
      <c r="S148" s="12" t="s">
        <v>48</v>
      </c>
      <c r="T148" s="12" t="s">
        <v>48</v>
      </c>
      <c r="U148" s="12">
        <v>996</v>
      </c>
    </row>
    <row r="149" spans="1:21">
      <c r="A149" s="13">
        <v>45717</v>
      </c>
      <c r="B149" s="12">
        <v>123747275</v>
      </c>
      <c r="C149" s="12">
        <v>2004</v>
      </c>
      <c r="D149" s="12" t="s">
        <v>49</v>
      </c>
      <c r="E149" s="12" t="s">
        <v>33</v>
      </c>
      <c r="F149" s="12" t="s">
        <v>56</v>
      </c>
      <c r="G149" s="12" t="s">
        <v>57</v>
      </c>
      <c r="H149" s="12" t="s">
        <v>58</v>
      </c>
      <c r="I149" s="12" t="s">
        <v>45</v>
      </c>
      <c r="J149" s="12">
        <v>0.771</v>
      </c>
      <c r="K149" s="12" t="s">
        <v>59</v>
      </c>
      <c r="L149" s="12" t="s">
        <v>72</v>
      </c>
      <c r="M149" s="12" t="s">
        <v>95</v>
      </c>
      <c r="N149" s="12" t="s">
        <v>14</v>
      </c>
      <c r="O149" s="12" t="s">
        <v>6</v>
      </c>
      <c r="P149" s="12">
        <v>0</v>
      </c>
      <c r="Q149" s="12">
        <v>1</v>
      </c>
      <c r="R149" s="12" t="s">
        <v>11</v>
      </c>
      <c r="S149" s="14">
        <v>0.788888888888889</v>
      </c>
      <c r="T149" s="12" t="s">
        <v>67</v>
      </c>
      <c r="U149" s="12">
        <v>1380</v>
      </c>
    </row>
    <row r="150" spans="1:21">
      <c r="A150" s="13">
        <v>45931</v>
      </c>
      <c r="B150" s="12">
        <v>123978507</v>
      </c>
      <c r="C150" s="12">
        <v>2002</v>
      </c>
      <c r="D150" s="12" t="s">
        <v>97</v>
      </c>
      <c r="E150" s="12" t="s">
        <v>33</v>
      </c>
      <c r="F150" s="12" t="s">
        <v>43</v>
      </c>
      <c r="G150" s="12" t="s">
        <v>44</v>
      </c>
      <c r="H150" s="12" t="s">
        <v>36</v>
      </c>
      <c r="I150" s="12" t="s">
        <v>37</v>
      </c>
      <c r="J150" s="12">
        <v>0.89</v>
      </c>
      <c r="K150" s="12" t="s">
        <v>46</v>
      </c>
      <c r="L150" s="12" t="s">
        <v>84</v>
      </c>
      <c r="M150" s="12" t="s">
        <v>89</v>
      </c>
      <c r="N150" s="12" t="s">
        <v>14</v>
      </c>
      <c r="O150" s="12" t="s">
        <v>6</v>
      </c>
      <c r="P150" s="12">
        <v>0</v>
      </c>
      <c r="Q150" s="12">
        <v>2</v>
      </c>
      <c r="R150" s="12" t="s">
        <v>11</v>
      </c>
      <c r="S150" s="12" t="s">
        <v>48</v>
      </c>
      <c r="T150" s="12" t="s">
        <v>48</v>
      </c>
      <c r="U150" s="12">
        <v>1800</v>
      </c>
    </row>
    <row r="151" spans="1:21">
      <c r="A151" s="13">
        <v>45658</v>
      </c>
      <c r="B151" s="12">
        <v>123917616</v>
      </c>
      <c r="C151" s="12">
        <v>1963</v>
      </c>
      <c r="D151" s="12" t="s">
        <v>61</v>
      </c>
      <c r="E151" s="12" t="s">
        <v>33</v>
      </c>
      <c r="F151" s="12" t="s">
        <v>56</v>
      </c>
      <c r="G151" s="12" t="s">
        <v>57</v>
      </c>
      <c r="H151" s="12" t="s">
        <v>58</v>
      </c>
      <c r="I151" s="12" t="s">
        <v>45</v>
      </c>
      <c r="J151" s="12">
        <v>1.222</v>
      </c>
      <c r="K151" s="12" t="s">
        <v>59</v>
      </c>
      <c r="L151" s="12" t="s">
        <v>65</v>
      </c>
      <c r="M151" s="12" t="s">
        <v>66</v>
      </c>
      <c r="N151" s="12" t="s">
        <v>14</v>
      </c>
      <c r="O151" s="12" t="s">
        <v>5</v>
      </c>
      <c r="P151" s="12">
        <v>5</v>
      </c>
      <c r="Q151" s="12">
        <v>2</v>
      </c>
      <c r="R151" s="12" t="s">
        <v>13</v>
      </c>
      <c r="S151" s="14">
        <v>0.349305555555556</v>
      </c>
      <c r="T151" s="12" t="s">
        <v>41</v>
      </c>
      <c r="U151" s="12">
        <v>112249</v>
      </c>
    </row>
    <row r="152" spans="1:21">
      <c r="A152" s="13">
        <v>45962</v>
      </c>
      <c r="B152" s="12">
        <v>123722153</v>
      </c>
      <c r="C152" s="12">
        <v>1988</v>
      </c>
      <c r="D152" s="12" t="s">
        <v>55</v>
      </c>
      <c r="E152" s="12" t="s">
        <v>50</v>
      </c>
      <c r="F152" s="12" t="s">
        <v>51</v>
      </c>
      <c r="G152" s="12" t="s">
        <v>52</v>
      </c>
      <c r="H152" s="12" t="s">
        <v>53</v>
      </c>
      <c r="I152" s="12" t="s">
        <v>45</v>
      </c>
      <c r="J152" s="12">
        <v>1.253</v>
      </c>
      <c r="K152" s="12" t="s">
        <v>54</v>
      </c>
      <c r="L152" s="12" t="s">
        <v>72</v>
      </c>
      <c r="M152" s="12" t="s">
        <v>95</v>
      </c>
      <c r="N152" s="12" t="s">
        <v>14</v>
      </c>
      <c r="O152" s="12" t="s">
        <v>6</v>
      </c>
      <c r="P152" s="12">
        <v>0</v>
      </c>
      <c r="Q152" s="12">
        <v>1</v>
      </c>
      <c r="R152" s="12" t="s">
        <v>13</v>
      </c>
      <c r="S152" s="12" t="s">
        <v>48</v>
      </c>
      <c r="T152" s="12" t="s">
        <v>48</v>
      </c>
      <c r="U152" s="12">
        <v>1778</v>
      </c>
    </row>
    <row r="153" spans="1:21">
      <c r="A153" s="13">
        <v>45748</v>
      </c>
      <c r="B153" s="12">
        <v>123811006</v>
      </c>
      <c r="C153" s="12">
        <v>1988</v>
      </c>
      <c r="D153" s="12" t="s">
        <v>61</v>
      </c>
      <c r="E153" s="12" t="s">
        <v>50</v>
      </c>
      <c r="F153" s="12" t="s">
        <v>80</v>
      </c>
      <c r="G153" s="12" t="s">
        <v>81</v>
      </c>
      <c r="H153" s="12" t="s">
        <v>36</v>
      </c>
      <c r="I153" s="12" t="s">
        <v>45</v>
      </c>
      <c r="J153" s="12">
        <v>1.103</v>
      </c>
      <c r="K153" s="12" t="s">
        <v>82</v>
      </c>
      <c r="L153" s="12" t="s">
        <v>72</v>
      </c>
      <c r="M153" s="12" t="s">
        <v>73</v>
      </c>
      <c r="N153" s="12" t="s">
        <v>14</v>
      </c>
      <c r="O153" s="12" t="s">
        <v>6</v>
      </c>
      <c r="P153" s="12">
        <v>0</v>
      </c>
      <c r="Q153" s="12">
        <v>1</v>
      </c>
      <c r="R153" s="12" t="s">
        <v>13</v>
      </c>
      <c r="S153" s="14">
        <v>0.907638888888889</v>
      </c>
      <c r="T153" s="12" t="s">
        <v>67</v>
      </c>
      <c r="U153" s="12">
        <v>1945</v>
      </c>
    </row>
    <row r="154" spans="1:21">
      <c r="A154" s="13">
        <v>45992</v>
      </c>
      <c r="B154" s="12">
        <v>123566081</v>
      </c>
      <c r="C154" s="12">
        <v>2002</v>
      </c>
      <c r="D154" s="12" t="s">
        <v>97</v>
      </c>
      <c r="E154" s="12" t="s">
        <v>50</v>
      </c>
      <c r="F154" s="12" t="s">
        <v>56</v>
      </c>
      <c r="G154" s="12" t="s">
        <v>57</v>
      </c>
      <c r="H154" s="12" t="s">
        <v>58</v>
      </c>
      <c r="I154" s="12" t="s">
        <v>45</v>
      </c>
      <c r="J154" s="12">
        <v>1.031</v>
      </c>
      <c r="K154" s="12" t="s">
        <v>59</v>
      </c>
      <c r="L154" s="12" t="s">
        <v>84</v>
      </c>
      <c r="M154" s="12" t="s">
        <v>89</v>
      </c>
      <c r="N154" s="12" t="s">
        <v>14</v>
      </c>
      <c r="O154" s="12" t="s">
        <v>6</v>
      </c>
      <c r="P154" s="12">
        <v>0</v>
      </c>
      <c r="Q154" s="12">
        <v>3</v>
      </c>
      <c r="R154" s="12" t="s">
        <v>11</v>
      </c>
      <c r="S154" s="12" t="s">
        <v>48</v>
      </c>
      <c r="T154" s="12" t="s">
        <v>48</v>
      </c>
      <c r="U154" s="12">
        <v>460</v>
      </c>
    </row>
    <row r="155" spans="1:21">
      <c r="A155" s="13">
        <v>45748</v>
      </c>
      <c r="B155" s="12">
        <v>123893588</v>
      </c>
      <c r="C155" s="12">
        <v>1964</v>
      </c>
      <c r="D155" s="12" t="s">
        <v>97</v>
      </c>
      <c r="E155" s="12" t="s">
        <v>50</v>
      </c>
      <c r="F155" s="12" t="s">
        <v>43</v>
      </c>
      <c r="G155" s="12" t="s">
        <v>44</v>
      </c>
      <c r="H155" s="12" t="s">
        <v>36</v>
      </c>
      <c r="I155" s="12" t="s">
        <v>45</v>
      </c>
      <c r="J155" s="12">
        <v>0.917</v>
      </c>
      <c r="K155" s="12" t="s">
        <v>46</v>
      </c>
      <c r="L155" s="12" t="s">
        <v>84</v>
      </c>
      <c r="M155" s="12" t="s">
        <v>89</v>
      </c>
      <c r="N155" s="12" t="s">
        <v>14</v>
      </c>
      <c r="O155" s="12" t="s">
        <v>6</v>
      </c>
      <c r="P155" s="12">
        <v>0</v>
      </c>
      <c r="Q155" s="12">
        <v>1</v>
      </c>
      <c r="R155" s="12" t="s">
        <v>11</v>
      </c>
      <c r="S155" s="12" t="s">
        <v>48</v>
      </c>
      <c r="T155" s="12" t="s">
        <v>48</v>
      </c>
      <c r="U155" s="12">
        <v>1680</v>
      </c>
    </row>
    <row r="156" spans="1:21">
      <c r="A156" s="13">
        <v>45809</v>
      </c>
      <c r="B156" s="12">
        <v>123756852</v>
      </c>
      <c r="C156" s="12">
        <v>1998</v>
      </c>
      <c r="D156" s="12" t="s">
        <v>90</v>
      </c>
      <c r="E156" s="12" t="s">
        <v>33</v>
      </c>
      <c r="F156" s="12" t="s">
        <v>80</v>
      </c>
      <c r="G156" s="12" t="s">
        <v>81</v>
      </c>
      <c r="H156" s="12" t="s">
        <v>36</v>
      </c>
      <c r="I156" s="12" t="s">
        <v>45</v>
      </c>
      <c r="J156" s="12">
        <v>0.864</v>
      </c>
      <c r="K156" s="12" t="s">
        <v>82</v>
      </c>
      <c r="L156" s="12" t="s">
        <v>65</v>
      </c>
      <c r="M156" s="12" t="s">
        <v>66</v>
      </c>
      <c r="N156" s="12" t="s">
        <v>14</v>
      </c>
      <c r="O156" s="12" t="s">
        <v>6</v>
      </c>
      <c r="P156" s="12">
        <v>0</v>
      </c>
      <c r="Q156" s="12">
        <v>1</v>
      </c>
      <c r="R156" s="12" t="s">
        <v>11</v>
      </c>
      <c r="S156" s="12" t="s">
        <v>48</v>
      </c>
      <c r="T156" s="12" t="s">
        <v>48</v>
      </c>
      <c r="U156" s="12">
        <v>1393</v>
      </c>
    </row>
    <row r="157" spans="1:21">
      <c r="A157" s="13">
        <v>45870</v>
      </c>
      <c r="B157" s="12">
        <v>123745800</v>
      </c>
      <c r="C157" s="12">
        <v>1992</v>
      </c>
      <c r="D157" s="12" t="s">
        <v>32</v>
      </c>
      <c r="E157" s="12" t="s">
        <v>50</v>
      </c>
      <c r="F157" s="12" t="s">
        <v>69</v>
      </c>
      <c r="G157" s="12" t="s">
        <v>70</v>
      </c>
      <c r="H157" s="12" t="s">
        <v>58</v>
      </c>
      <c r="I157" s="12" t="s">
        <v>45</v>
      </c>
      <c r="J157" s="12">
        <v>1.166</v>
      </c>
      <c r="K157" s="12" t="s">
        <v>71</v>
      </c>
      <c r="L157" s="12" t="s">
        <v>39</v>
      </c>
      <c r="M157" s="12" t="s">
        <v>47</v>
      </c>
      <c r="N157" s="12" t="s">
        <v>14</v>
      </c>
      <c r="O157" s="12" t="s">
        <v>6</v>
      </c>
      <c r="P157" s="12">
        <v>0</v>
      </c>
      <c r="Q157" s="12">
        <v>1</v>
      </c>
      <c r="R157" s="12" t="s">
        <v>11</v>
      </c>
      <c r="S157" s="14">
        <v>0.690277777777778</v>
      </c>
      <c r="T157" s="12" t="s">
        <v>67</v>
      </c>
      <c r="U157" s="12">
        <v>851</v>
      </c>
    </row>
    <row r="158" spans="1:21">
      <c r="A158" s="13">
        <v>45689</v>
      </c>
      <c r="B158" s="12">
        <v>123872857</v>
      </c>
      <c r="C158" s="12">
        <v>1991</v>
      </c>
      <c r="D158" s="12" t="s">
        <v>61</v>
      </c>
      <c r="E158" s="12" t="s">
        <v>50</v>
      </c>
      <c r="F158" s="12" t="s">
        <v>80</v>
      </c>
      <c r="G158" s="12" t="s">
        <v>81</v>
      </c>
      <c r="H158" s="12" t="s">
        <v>36</v>
      </c>
      <c r="I158" s="12" t="s">
        <v>45</v>
      </c>
      <c r="J158" s="12">
        <v>0.981</v>
      </c>
      <c r="K158" s="12" t="s">
        <v>82</v>
      </c>
      <c r="L158" s="12" t="s">
        <v>65</v>
      </c>
      <c r="M158" s="12" t="s">
        <v>66</v>
      </c>
      <c r="N158" s="12" t="s">
        <v>14</v>
      </c>
      <c r="O158" s="12" t="s">
        <v>6</v>
      </c>
      <c r="P158" s="12">
        <v>0</v>
      </c>
      <c r="Q158" s="12">
        <v>2</v>
      </c>
      <c r="R158" s="12" t="s">
        <v>11</v>
      </c>
      <c r="S158" s="14">
        <v>0.496527777777778</v>
      </c>
      <c r="T158" s="12" t="s">
        <v>41</v>
      </c>
      <c r="U158" s="12">
        <v>1042</v>
      </c>
    </row>
    <row r="159" spans="1:21">
      <c r="A159" s="13">
        <v>45839</v>
      </c>
      <c r="B159" s="12">
        <v>123800306</v>
      </c>
      <c r="C159" s="12">
        <v>1961</v>
      </c>
      <c r="D159" s="12" t="s">
        <v>83</v>
      </c>
      <c r="E159" s="12" t="s">
        <v>33</v>
      </c>
      <c r="F159" s="12" t="s">
        <v>91</v>
      </c>
      <c r="G159" s="12" t="s">
        <v>92</v>
      </c>
      <c r="H159" s="12" t="s">
        <v>58</v>
      </c>
      <c r="I159" s="12" t="s">
        <v>45</v>
      </c>
      <c r="J159" s="12">
        <v>1.252</v>
      </c>
      <c r="K159" s="12" t="s">
        <v>93</v>
      </c>
      <c r="L159" s="12" t="s">
        <v>72</v>
      </c>
      <c r="M159" s="12" t="s">
        <v>73</v>
      </c>
      <c r="N159" s="12" t="s">
        <v>14</v>
      </c>
      <c r="O159" s="12" t="s">
        <v>6</v>
      </c>
      <c r="P159" s="12">
        <v>0</v>
      </c>
      <c r="Q159" s="12">
        <v>3</v>
      </c>
      <c r="R159" s="12" t="s">
        <v>11</v>
      </c>
      <c r="S159" s="12" t="s">
        <v>48</v>
      </c>
      <c r="T159" s="12" t="s">
        <v>48</v>
      </c>
      <c r="U159" s="12">
        <v>2067</v>
      </c>
    </row>
    <row r="160" spans="1:21">
      <c r="A160" s="13">
        <v>45839</v>
      </c>
      <c r="B160" s="12">
        <v>123495422</v>
      </c>
      <c r="C160" s="12">
        <v>2001</v>
      </c>
      <c r="D160" s="12" t="s">
        <v>42</v>
      </c>
      <c r="E160" s="12" t="s">
        <v>50</v>
      </c>
      <c r="F160" s="12" t="s">
        <v>34</v>
      </c>
      <c r="G160" s="12" t="s">
        <v>35</v>
      </c>
      <c r="H160" s="12" t="s">
        <v>36</v>
      </c>
      <c r="I160" s="12" t="s">
        <v>37</v>
      </c>
      <c r="J160" s="12">
        <v>1.189</v>
      </c>
      <c r="K160" s="12" t="s">
        <v>38</v>
      </c>
      <c r="L160" s="12" t="s">
        <v>39</v>
      </c>
      <c r="M160" s="12" t="s">
        <v>78</v>
      </c>
      <c r="N160" s="12" t="s">
        <v>14</v>
      </c>
      <c r="O160" s="12" t="s">
        <v>5</v>
      </c>
      <c r="P160" s="12">
        <v>6</v>
      </c>
      <c r="Q160" s="12">
        <v>2</v>
      </c>
      <c r="R160" s="12" t="s">
        <v>11</v>
      </c>
      <c r="S160" s="12" t="s">
        <v>48</v>
      </c>
      <c r="T160" s="12" t="s">
        <v>48</v>
      </c>
      <c r="U160" s="12">
        <v>88682</v>
      </c>
    </row>
    <row r="161" spans="1:21">
      <c r="A161" s="13">
        <v>45931</v>
      </c>
      <c r="B161" s="12">
        <v>123612756</v>
      </c>
      <c r="C161" s="12">
        <v>1988</v>
      </c>
      <c r="D161" s="12" t="s">
        <v>61</v>
      </c>
      <c r="E161" s="12" t="s">
        <v>50</v>
      </c>
      <c r="F161" s="12" t="s">
        <v>86</v>
      </c>
      <c r="G161" s="12" t="s">
        <v>87</v>
      </c>
      <c r="H161" s="12" t="s">
        <v>58</v>
      </c>
      <c r="I161" s="12" t="s">
        <v>45</v>
      </c>
      <c r="J161" s="12">
        <v>0.826</v>
      </c>
      <c r="K161" s="12" t="s">
        <v>88</v>
      </c>
      <c r="L161" s="12" t="s">
        <v>84</v>
      </c>
      <c r="M161" s="12" t="s">
        <v>85</v>
      </c>
      <c r="N161" s="12" t="s">
        <v>14</v>
      </c>
      <c r="O161" s="12" t="s">
        <v>6</v>
      </c>
      <c r="P161" s="12">
        <v>0</v>
      </c>
      <c r="Q161" s="12">
        <v>2</v>
      </c>
      <c r="R161" s="12" t="s">
        <v>11</v>
      </c>
      <c r="S161" s="12" t="s">
        <v>48</v>
      </c>
      <c r="T161" s="12" t="s">
        <v>48</v>
      </c>
      <c r="U161" s="12">
        <v>1143</v>
      </c>
    </row>
    <row r="162" spans="1:21">
      <c r="A162" s="13">
        <v>45992</v>
      </c>
      <c r="B162" s="12">
        <v>123552134</v>
      </c>
      <c r="C162" s="12">
        <v>1965</v>
      </c>
      <c r="D162" s="12" t="s">
        <v>42</v>
      </c>
      <c r="E162" s="12" t="s">
        <v>50</v>
      </c>
      <c r="F162" s="12" t="s">
        <v>56</v>
      </c>
      <c r="G162" s="12" t="s">
        <v>57</v>
      </c>
      <c r="H162" s="12" t="s">
        <v>58</v>
      </c>
      <c r="I162" s="12" t="s">
        <v>37</v>
      </c>
      <c r="J162" s="12">
        <v>0.893</v>
      </c>
      <c r="K162" s="12" t="s">
        <v>59</v>
      </c>
      <c r="L162" s="12" t="s">
        <v>84</v>
      </c>
      <c r="M162" s="12" t="s">
        <v>89</v>
      </c>
      <c r="N162" s="12" t="s">
        <v>14</v>
      </c>
      <c r="O162" s="12" t="s">
        <v>6</v>
      </c>
      <c r="P162" s="12">
        <v>0</v>
      </c>
      <c r="Q162" s="12">
        <v>1</v>
      </c>
      <c r="R162" s="12" t="s">
        <v>11</v>
      </c>
      <c r="S162" s="14">
        <v>0.540972222222222</v>
      </c>
      <c r="T162" s="12" t="s">
        <v>67</v>
      </c>
      <c r="U162" s="12">
        <v>152</v>
      </c>
    </row>
    <row r="163" spans="1:21">
      <c r="A163" s="13">
        <v>45870</v>
      </c>
      <c r="B163" s="12">
        <v>123855781</v>
      </c>
      <c r="C163" s="12">
        <v>1986</v>
      </c>
      <c r="D163" s="12" t="s">
        <v>83</v>
      </c>
      <c r="E163" s="12" t="s">
        <v>33</v>
      </c>
      <c r="F163" s="12" t="s">
        <v>80</v>
      </c>
      <c r="G163" s="12" t="s">
        <v>81</v>
      </c>
      <c r="H163" s="12" t="s">
        <v>36</v>
      </c>
      <c r="I163" s="12" t="s">
        <v>37</v>
      </c>
      <c r="J163" s="12">
        <v>0.893</v>
      </c>
      <c r="K163" s="12" t="s">
        <v>82</v>
      </c>
      <c r="L163" s="12" t="s">
        <v>72</v>
      </c>
      <c r="M163" s="12" t="s">
        <v>95</v>
      </c>
      <c r="N163" s="12" t="s">
        <v>14</v>
      </c>
      <c r="O163" s="12" t="s">
        <v>4</v>
      </c>
      <c r="P163" s="12">
        <v>1</v>
      </c>
      <c r="Q163" s="12">
        <v>1</v>
      </c>
      <c r="R163" s="12" t="s">
        <v>11</v>
      </c>
      <c r="S163" s="14">
        <v>0.747916666666667</v>
      </c>
      <c r="T163" s="12" t="s">
        <v>67</v>
      </c>
      <c r="U163" s="12">
        <v>2429</v>
      </c>
    </row>
    <row r="164" spans="1:21">
      <c r="A164" s="13">
        <v>45778</v>
      </c>
      <c r="B164" s="12">
        <v>123475120</v>
      </c>
      <c r="C164" s="12">
        <v>1958</v>
      </c>
      <c r="D164" s="12" t="s">
        <v>83</v>
      </c>
      <c r="E164" s="12" t="s">
        <v>33</v>
      </c>
      <c r="F164" s="12" t="s">
        <v>80</v>
      </c>
      <c r="G164" s="12" t="s">
        <v>81</v>
      </c>
      <c r="H164" s="12" t="s">
        <v>36</v>
      </c>
      <c r="I164" s="12" t="s">
        <v>45</v>
      </c>
      <c r="J164" s="12">
        <v>1.112</v>
      </c>
      <c r="K164" s="12" t="s">
        <v>82</v>
      </c>
      <c r="L164" s="12" t="s">
        <v>65</v>
      </c>
      <c r="M164" s="12" t="s">
        <v>66</v>
      </c>
      <c r="N164" s="12" t="s">
        <v>14</v>
      </c>
      <c r="O164" s="12" t="s">
        <v>5</v>
      </c>
      <c r="P164" s="12">
        <v>5</v>
      </c>
      <c r="Q164" s="12">
        <v>2</v>
      </c>
      <c r="R164" s="12" t="s">
        <v>13</v>
      </c>
      <c r="S164" s="14">
        <v>0.407638888888889</v>
      </c>
      <c r="T164" s="12" t="s">
        <v>41</v>
      </c>
      <c r="U164" s="12">
        <v>38821</v>
      </c>
    </row>
    <row r="165" spans="1:21">
      <c r="A165" s="13">
        <v>45778</v>
      </c>
      <c r="B165" s="12">
        <v>123566107</v>
      </c>
      <c r="C165" s="12">
        <v>1967</v>
      </c>
      <c r="D165" s="12" t="s">
        <v>42</v>
      </c>
      <c r="E165" s="12" t="s">
        <v>50</v>
      </c>
      <c r="F165" s="12" t="s">
        <v>62</v>
      </c>
      <c r="G165" s="12" t="s">
        <v>63</v>
      </c>
      <c r="H165" s="12" t="s">
        <v>58</v>
      </c>
      <c r="I165" s="12" t="s">
        <v>45</v>
      </c>
      <c r="J165" s="12">
        <v>1.154</v>
      </c>
      <c r="K165" s="12" t="s">
        <v>64</v>
      </c>
      <c r="L165" s="12" t="s">
        <v>39</v>
      </c>
      <c r="M165" s="12" t="s">
        <v>78</v>
      </c>
      <c r="N165" s="12" t="s">
        <v>14</v>
      </c>
      <c r="O165" s="12" t="s">
        <v>5</v>
      </c>
      <c r="P165" s="12">
        <v>4</v>
      </c>
      <c r="Q165" s="12">
        <v>3</v>
      </c>
      <c r="R165" s="12" t="s">
        <v>13</v>
      </c>
      <c r="S165" s="14">
        <v>0.346527777777778</v>
      </c>
      <c r="T165" s="12" t="s">
        <v>41</v>
      </c>
      <c r="U165" s="12">
        <v>122019</v>
      </c>
    </row>
    <row r="166" spans="1:21">
      <c r="A166" s="13">
        <v>45809</v>
      </c>
      <c r="B166" s="12">
        <v>123781009</v>
      </c>
      <c r="C166" s="12">
        <v>2004</v>
      </c>
      <c r="D166" s="12" t="s">
        <v>32</v>
      </c>
      <c r="E166" s="12" t="s">
        <v>33</v>
      </c>
      <c r="F166" s="12" t="s">
        <v>75</v>
      </c>
      <c r="G166" s="12" t="s">
        <v>76</v>
      </c>
      <c r="H166" s="12" t="s">
        <v>53</v>
      </c>
      <c r="I166" s="12" t="s">
        <v>45</v>
      </c>
      <c r="J166" s="12">
        <v>1.37</v>
      </c>
      <c r="K166" s="12" t="s">
        <v>77</v>
      </c>
      <c r="L166" s="12" t="s">
        <v>39</v>
      </c>
      <c r="M166" s="12" t="s">
        <v>78</v>
      </c>
      <c r="N166" s="12" t="s">
        <v>14</v>
      </c>
      <c r="O166" s="12" t="s">
        <v>6</v>
      </c>
      <c r="P166" s="12">
        <v>0</v>
      </c>
      <c r="Q166" s="12">
        <v>2</v>
      </c>
      <c r="R166" s="12" t="s">
        <v>13</v>
      </c>
      <c r="S166" s="12" t="s">
        <v>48</v>
      </c>
      <c r="T166" s="12" t="s">
        <v>48</v>
      </c>
      <c r="U166" s="12">
        <v>252</v>
      </c>
    </row>
    <row r="167" spans="1:21">
      <c r="A167" s="13">
        <v>45931</v>
      </c>
      <c r="B167" s="12">
        <v>123833969</v>
      </c>
      <c r="C167" s="12">
        <v>2004</v>
      </c>
      <c r="D167" s="12" t="s">
        <v>83</v>
      </c>
      <c r="E167" s="12" t="s">
        <v>33</v>
      </c>
      <c r="F167" s="12" t="s">
        <v>56</v>
      </c>
      <c r="G167" s="12" t="s">
        <v>57</v>
      </c>
      <c r="H167" s="12" t="s">
        <v>58</v>
      </c>
      <c r="I167" s="12" t="s">
        <v>45</v>
      </c>
      <c r="J167" s="12">
        <v>0.892</v>
      </c>
      <c r="K167" s="12" t="s">
        <v>59</v>
      </c>
      <c r="L167" s="12" t="s">
        <v>39</v>
      </c>
      <c r="M167" s="12" t="s">
        <v>78</v>
      </c>
      <c r="N167" s="12" t="s">
        <v>14</v>
      </c>
      <c r="O167" s="12" t="s">
        <v>6</v>
      </c>
      <c r="P167" s="12">
        <v>0</v>
      </c>
      <c r="Q167" s="12">
        <v>2</v>
      </c>
      <c r="R167" s="12" t="s">
        <v>11</v>
      </c>
      <c r="S167" s="12" t="s">
        <v>48</v>
      </c>
      <c r="T167" s="12" t="s">
        <v>48</v>
      </c>
      <c r="U167" s="12">
        <v>1392</v>
      </c>
    </row>
    <row r="168" spans="1:21">
      <c r="A168" s="13">
        <v>45748</v>
      </c>
      <c r="B168" s="12">
        <v>123729797</v>
      </c>
      <c r="C168" s="12">
        <v>1988</v>
      </c>
      <c r="D168" s="12" t="s">
        <v>32</v>
      </c>
      <c r="E168" s="12" t="s">
        <v>33</v>
      </c>
      <c r="F168" s="12" t="s">
        <v>69</v>
      </c>
      <c r="G168" s="12" t="s">
        <v>70</v>
      </c>
      <c r="H168" s="12" t="s">
        <v>58</v>
      </c>
      <c r="I168" s="12" t="s">
        <v>45</v>
      </c>
      <c r="J168" s="12">
        <v>1.093</v>
      </c>
      <c r="K168" s="12" t="s">
        <v>71</v>
      </c>
      <c r="L168" s="12" t="s">
        <v>72</v>
      </c>
      <c r="M168" s="12" t="s">
        <v>95</v>
      </c>
      <c r="N168" s="12" t="s">
        <v>14</v>
      </c>
      <c r="O168" s="12" t="s">
        <v>6</v>
      </c>
      <c r="P168" s="12">
        <v>0</v>
      </c>
      <c r="Q168" s="12">
        <v>2</v>
      </c>
      <c r="R168" s="12" t="s">
        <v>13</v>
      </c>
      <c r="S168" s="14">
        <v>0.63125</v>
      </c>
      <c r="T168" s="12" t="s">
        <v>67</v>
      </c>
      <c r="U168" s="12">
        <v>1722</v>
      </c>
    </row>
    <row r="169" spans="1:21">
      <c r="A169" s="13">
        <v>45717</v>
      </c>
      <c r="B169" s="12">
        <v>123924230</v>
      </c>
      <c r="C169" s="12">
        <v>2001</v>
      </c>
      <c r="D169" s="12" t="s">
        <v>42</v>
      </c>
      <c r="E169" s="12" t="s">
        <v>50</v>
      </c>
      <c r="F169" s="12" t="s">
        <v>34</v>
      </c>
      <c r="G169" s="12" t="s">
        <v>35</v>
      </c>
      <c r="H169" s="12" t="s">
        <v>36</v>
      </c>
      <c r="I169" s="12" t="s">
        <v>45</v>
      </c>
      <c r="J169" s="12">
        <v>1.062</v>
      </c>
      <c r="K169" s="12" t="s">
        <v>38</v>
      </c>
      <c r="L169" s="12" t="s">
        <v>84</v>
      </c>
      <c r="M169" s="12" t="s">
        <v>89</v>
      </c>
      <c r="N169" s="12" t="s">
        <v>14</v>
      </c>
      <c r="O169" s="12" t="s">
        <v>6</v>
      </c>
      <c r="P169" s="12">
        <v>0</v>
      </c>
      <c r="Q169" s="12">
        <v>2</v>
      </c>
      <c r="R169" s="12" t="s">
        <v>11</v>
      </c>
      <c r="S169" s="12" t="s">
        <v>48</v>
      </c>
      <c r="T169" s="12" t="s">
        <v>48</v>
      </c>
      <c r="U169" s="12">
        <v>1297</v>
      </c>
    </row>
    <row r="170" spans="1:21">
      <c r="A170" s="13">
        <v>45778</v>
      </c>
      <c r="B170" s="12">
        <v>123955902</v>
      </c>
      <c r="C170" s="12">
        <v>1956</v>
      </c>
      <c r="D170" s="12" t="s">
        <v>83</v>
      </c>
      <c r="E170" s="12" t="s">
        <v>50</v>
      </c>
      <c r="F170" s="12" t="s">
        <v>91</v>
      </c>
      <c r="G170" s="12" t="s">
        <v>92</v>
      </c>
      <c r="H170" s="12" t="s">
        <v>58</v>
      </c>
      <c r="I170" s="12" t="s">
        <v>45</v>
      </c>
      <c r="J170" s="12">
        <v>1</v>
      </c>
      <c r="K170" s="12" t="s">
        <v>93</v>
      </c>
      <c r="L170" s="12" t="s">
        <v>65</v>
      </c>
      <c r="M170" s="12" t="s">
        <v>66</v>
      </c>
      <c r="N170" s="12" t="s">
        <v>14</v>
      </c>
      <c r="O170" s="12" t="s">
        <v>6</v>
      </c>
      <c r="P170" s="12">
        <v>0</v>
      </c>
      <c r="Q170" s="12">
        <v>2</v>
      </c>
      <c r="R170" s="12" t="s">
        <v>11</v>
      </c>
      <c r="S170" s="14">
        <v>0.69375</v>
      </c>
      <c r="T170" s="12" t="s">
        <v>67</v>
      </c>
      <c r="U170" s="12">
        <v>142</v>
      </c>
    </row>
    <row r="171" spans="1:21">
      <c r="A171" s="13">
        <v>45658</v>
      </c>
      <c r="B171" s="12">
        <v>123527863</v>
      </c>
      <c r="C171" s="12">
        <v>2005</v>
      </c>
      <c r="D171" s="12" t="s">
        <v>68</v>
      </c>
      <c r="E171" s="12" t="s">
        <v>33</v>
      </c>
      <c r="F171" s="12" t="s">
        <v>80</v>
      </c>
      <c r="G171" s="12" t="s">
        <v>81</v>
      </c>
      <c r="H171" s="12" t="s">
        <v>36</v>
      </c>
      <c r="I171" s="12" t="s">
        <v>45</v>
      </c>
      <c r="J171" s="12">
        <v>1.011</v>
      </c>
      <c r="K171" s="12" t="s">
        <v>82</v>
      </c>
      <c r="L171" s="12" t="s">
        <v>84</v>
      </c>
      <c r="M171" s="12" t="s">
        <v>85</v>
      </c>
      <c r="N171" s="12" t="s">
        <v>14</v>
      </c>
      <c r="O171" s="12" t="s">
        <v>6</v>
      </c>
      <c r="P171" s="12">
        <v>0</v>
      </c>
      <c r="Q171" s="12">
        <v>2</v>
      </c>
      <c r="R171" s="12" t="s">
        <v>11</v>
      </c>
      <c r="S171" s="14">
        <v>0.530555555555556</v>
      </c>
      <c r="T171" s="12" t="s">
        <v>67</v>
      </c>
      <c r="U171" s="12">
        <v>1127</v>
      </c>
    </row>
    <row r="172" spans="1:21">
      <c r="A172" s="13">
        <v>45689</v>
      </c>
      <c r="B172" s="12">
        <v>123974165</v>
      </c>
      <c r="C172" s="12">
        <v>1974</v>
      </c>
      <c r="D172" s="12" t="s">
        <v>42</v>
      </c>
      <c r="E172" s="12" t="s">
        <v>50</v>
      </c>
      <c r="F172" s="12" t="s">
        <v>91</v>
      </c>
      <c r="G172" s="12" t="s">
        <v>92</v>
      </c>
      <c r="H172" s="12" t="s">
        <v>58</v>
      </c>
      <c r="I172" s="12" t="s">
        <v>37</v>
      </c>
      <c r="J172" s="12">
        <v>0.896</v>
      </c>
      <c r="K172" s="12" t="s">
        <v>93</v>
      </c>
      <c r="L172" s="12" t="s">
        <v>39</v>
      </c>
      <c r="M172" s="12" t="s">
        <v>78</v>
      </c>
      <c r="N172" s="12" t="s">
        <v>14</v>
      </c>
      <c r="O172" s="12" t="s">
        <v>6</v>
      </c>
      <c r="P172" s="12">
        <v>0</v>
      </c>
      <c r="Q172" s="12">
        <v>2</v>
      </c>
      <c r="R172" s="12" t="s">
        <v>11</v>
      </c>
      <c r="S172" s="12" t="s">
        <v>48</v>
      </c>
      <c r="T172" s="12" t="s">
        <v>48</v>
      </c>
      <c r="U172" s="12">
        <v>218</v>
      </c>
    </row>
    <row r="173" spans="1:21">
      <c r="A173" s="13">
        <v>45689</v>
      </c>
      <c r="B173" s="12">
        <v>123790221</v>
      </c>
      <c r="C173" s="12">
        <v>1999</v>
      </c>
      <c r="D173" s="12" t="s">
        <v>83</v>
      </c>
      <c r="E173" s="12" t="s">
        <v>33</v>
      </c>
      <c r="F173" s="12" t="s">
        <v>80</v>
      </c>
      <c r="G173" s="12" t="s">
        <v>81</v>
      </c>
      <c r="H173" s="12" t="s">
        <v>36</v>
      </c>
      <c r="I173" s="12" t="s">
        <v>45</v>
      </c>
      <c r="J173" s="12">
        <v>1.131</v>
      </c>
      <c r="K173" s="12" t="s">
        <v>82</v>
      </c>
      <c r="L173" s="12" t="s">
        <v>39</v>
      </c>
      <c r="M173" s="12" t="s">
        <v>47</v>
      </c>
      <c r="N173" s="12" t="s">
        <v>14</v>
      </c>
      <c r="O173" s="12" t="s">
        <v>5</v>
      </c>
      <c r="P173" s="12">
        <v>4</v>
      </c>
      <c r="Q173" s="12">
        <v>2</v>
      </c>
      <c r="R173" s="12" t="s">
        <v>13</v>
      </c>
      <c r="S173" s="14">
        <v>0.743055555555556</v>
      </c>
      <c r="T173" s="12" t="s">
        <v>67</v>
      </c>
      <c r="U173" s="12">
        <v>160962</v>
      </c>
    </row>
    <row r="174" spans="1:21">
      <c r="A174" s="13">
        <v>45931</v>
      </c>
      <c r="B174" s="12">
        <v>123802102</v>
      </c>
      <c r="C174" s="12">
        <v>2005</v>
      </c>
      <c r="D174" s="12" t="s">
        <v>68</v>
      </c>
      <c r="E174" s="12" t="s">
        <v>33</v>
      </c>
      <c r="F174" s="12" t="s">
        <v>80</v>
      </c>
      <c r="G174" s="12" t="s">
        <v>81</v>
      </c>
      <c r="H174" s="12" t="s">
        <v>36</v>
      </c>
      <c r="I174" s="12" t="s">
        <v>45</v>
      </c>
      <c r="J174" s="12">
        <v>1.091</v>
      </c>
      <c r="K174" s="12" t="s">
        <v>82</v>
      </c>
      <c r="L174" s="12" t="s">
        <v>39</v>
      </c>
      <c r="M174" s="12" t="s">
        <v>47</v>
      </c>
      <c r="N174" s="12" t="s">
        <v>14</v>
      </c>
      <c r="O174" s="12" t="s">
        <v>6</v>
      </c>
      <c r="P174" s="12">
        <v>0</v>
      </c>
      <c r="Q174" s="12">
        <v>3</v>
      </c>
      <c r="R174" s="12" t="s">
        <v>11</v>
      </c>
      <c r="S174" s="12" t="s">
        <v>48</v>
      </c>
      <c r="T174" s="12" t="s">
        <v>48</v>
      </c>
      <c r="U174" s="12">
        <v>1555</v>
      </c>
    </row>
    <row r="175" spans="1:21">
      <c r="A175" s="13">
        <v>45901</v>
      </c>
      <c r="B175" s="12">
        <v>123507731</v>
      </c>
      <c r="C175" s="12">
        <v>1999</v>
      </c>
      <c r="D175" s="12" t="s">
        <v>74</v>
      </c>
      <c r="E175" s="12" t="s">
        <v>50</v>
      </c>
      <c r="F175" s="12" t="s">
        <v>80</v>
      </c>
      <c r="G175" s="12" t="s">
        <v>81</v>
      </c>
      <c r="H175" s="12" t="s">
        <v>36</v>
      </c>
      <c r="I175" s="12" t="s">
        <v>37</v>
      </c>
      <c r="J175" s="12">
        <v>1.103</v>
      </c>
      <c r="K175" s="12" t="s">
        <v>82</v>
      </c>
      <c r="L175" s="12" t="s">
        <v>84</v>
      </c>
      <c r="M175" s="12" t="s">
        <v>89</v>
      </c>
      <c r="N175" s="12" t="s">
        <v>14</v>
      </c>
      <c r="O175" s="12" t="s">
        <v>6</v>
      </c>
      <c r="P175" s="12">
        <v>0</v>
      </c>
      <c r="Q175" s="12">
        <v>2</v>
      </c>
      <c r="R175" s="12" t="s">
        <v>13</v>
      </c>
      <c r="S175" s="12" t="s">
        <v>48</v>
      </c>
      <c r="T175" s="12" t="s">
        <v>48</v>
      </c>
      <c r="U175" s="12">
        <v>2257</v>
      </c>
    </row>
    <row r="176" spans="1:21">
      <c r="A176" s="13">
        <v>45901</v>
      </c>
      <c r="B176" s="12">
        <v>123794297</v>
      </c>
      <c r="C176" s="12">
        <v>1986</v>
      </c>
      <c r="D176" s="12" t="s">
        <v>83</v>
      </c>
      <c r="E176" s="12" t="s">
        <v>33</v>
      </c>
      <c r="F176" s="12" t="s">
        <v>91</v>
      </c>
      <c r="G176" s="12" t="s">
        <v>92</v>
      </c>
      <c r="H176" s="12" t="s">
        <v>58</v>
      </c>
      <c r="I176" s="12" t="s">
        <v>45</v>
      </c>
      <c r="J176" s="12">
        <v>1.067</v>
      </c>
      <c r="K176" s="12" t="s">
        <v>93</v>
      </c>
      <c r="L176" s="12" t="s">
        <v>39</v>
      </c>
      <c r="M176" s="12" t="s">
        <v>78</v>
      </c>
      <c r="N176" s="12" t="s">
        <v>14</v>
      </c>
      <c r="O176" s="12" t="s">
        <v>5</v>
      </c>
      <c r="P176" s="12">
        <v>5</v>
      </c>
      <c r="Q176" s="12">
        <v>1</v>
      </c>
      <c r="R176" s="12" t="s">
        <v>11</v>
      </c>
      <c r="S176" s="14">
        <v>0.297222222222222</v>
      </c>
      <c r="T176" s="12" t="s">
        <v>41</v>
      </c>
      <c r="U176" s="12">
        <v>28855</v>
      </c>
    </row>
    <row r="177" spans="1:21">
      <c r="A177" s="13">
        <v>45809</v>
      </c>
      <c r="B177" s="12">
        <v>123850788</v>
      </c>
      <c r="C177" s="12">
        <v>1999</v>
      </c>
      <c r="D177" s="12" t="s">
        <v>100</v>
      </c>
      <c r="E177" s="12" t="s">
        <v>33</v>
      </c>
      <c r="F177" s="12" t="s">
        <v>75</v>
      </c>
      <c r="G177" s="12" t="s">
        <v>76</v>
      </c>
      <c r="H177" s="12" t="s">
        <v>53</v>
      </c>
      <c r="I177" s="12" t="s">
        <v>45</v>
      </c>
      <c r="J177" s="12">
        <v>1.151</v>
      </c>
      <c r="K177" s="12" t="s">
        <v>77</v>
      </c>
      <c r="L177" s="12" t="s">
        <v>72</v>
      </c>
      <c r="M177" s="12" t="s">
        <v>73</v>
      </c>
      <c r="N177" s="12" t="s">
        <v>14</v>
      </c>
      <c r="O177" s="12" t="s">
        <v>5</v>
      </c>
      <c r="P177" s="12">
        <v>5</v>
      </c>
      <c r="Q177" s="12">
        <v>1</v>
      </c>
      <c r="R177" s="12" t="s">
        <v>11</v>
      </c>
      <c r="S177" s="12" t="s">
        <v>48</v>
      </c>
      <c r="T177" s="12" t="s">
        <v>48</v>
      </c>
      <c r="U177" s="12">
        <v>30668</v>
      </c>
    </row>
    <row r="178" spans="1:21">
      <c r="A178" s="13">
        <v>45901</v>
      </c>
      <c r="B178" s="12">
        <v>123771949</v>
      </c>
      <c r="C178" s="12">
        <v>1982</v>
      </c>
      <c r="D178" s="12" t="s">
        <v>42</v>
      </c>
      <c r="E178" s="12" t="s">
        <v>33</v>
      </c>
      <c r="F178" s="12" t="s">
        <v>80</v>
      </c>
      <c r="G178" s="12" t="s">
        <v>81</v>
      </c>
      <c r="H178" s="12" t="s">
        <v>36</v>
      </c>
      <c r="I178" s="12" t="s">
        <v>37</v>
      </c>
      <c r="J178" s="12">
        <v>1.094</v>
      </c>
      <c r="K178" s="12" t="s">
        <v>82</v>
      </c>
      <c r="L178" s="12" t="s">
        <v>65</v>
      </c>
      <c r="M178" s="12" t="s">
        <v>66</v>
      </c>
      <c r="N178" s="12" t="s">
        <v>14</v>
      </c>
      <c r="O178" s="12" t="s">
        <v>6</v>
      </c>
      <c r="P178" s="12">
        <v>0</v>
      </c>
      <c r="Q178" s="12">
        <v>2</v>
      </c>
      <c r="R178" s="12" t="s">
        <v>11</v>
      </c>
      <c r="S178" s="12" t="s">
        <v>48</v>
      </c>
      <c r="T178" s="12" t="s">
        <v>48</v>
      </c>
      <c r="U178" s="12">
        <v>1623</v>
      </c>
    </row>
    <row r="179" spans="1:21">
      <c r="A179" s="13">
        <v>45689</v>
      </c>
      <c r="B179" s="12">
        <v>123501964</v>
      </c>
      <c r="C179" s="12">
        <v>1992</v>
      </c>
      <c r="D179" s="12" t="s">
        <v>97</v>
      </c>
      <c r="E179" s="12" t="s">
        <v>50</v>
      </c>
      <c r="F179" s="12" t="s">
        <v>56</v>
      </c>
      <c r="G179" s="12" t="s">
        <v>57</v>
      </c>
      <c r="H179" s="12" t="s">
        <v>58</v>
      </c>
      <c r="I179" s="12" t="s">
        <v>45</v>
      </c>
      <c r="J179" s="12">
        <v>1.007</v>
      </c>
      <c r="K179" s="12" t="s">
        <v>59</v>
      </c>
      <c r="L179" s="12" t="s">
        <v>84</v>
      </c>
      <c r="M179" s="12" t="s">
        <v>89</v>
      </c>
      <c r="N179" s="12" t="s">
        <v>14</v>
      </c>
      <c r="O179" s="12" t="s">
        <v>6</v>
      </c>
      <c r="P179" s="12">
        <v>0</v>
      </c>
      <c r="Q179" s="12">
        <v>2</v>
      </c>
      <c r="R179" s="12" t="s">
        <v>11</v>
      </c>
      <c r="S179" s="14">
        <v>0.749305555555556</v>
      </c>
      <c r="T179" s="12" t="s">
        <v>67</v>
      </c>
      <c r="U179" s="12">
        <v>143</v>
      </c>
    </row>
    <row r="180" spans="1:21">
      <c r="A180" s="13">
        <v>45962</v>
      </c>
      <c r="B180" s="12">
        <v>123740635</v>
      </c>
      <c r="C180" s="12">
        <v>1969</v>
      </c>
      <c r="D180" s="12" t="s">
        <v>83</v>
      </c>
      <c r="E180" s="12" t="s">
        <v>33</v>
      </c>
      <c r="F180" s="12" t="s">
        <v>43</v>
      </c>
      <c r="G180" s="12" t="s">
        <v>44</v>
      </c>
      <c r="H180" s="12" t="s">
        <v>36</v>
      </c>
      <c r="I180" s="12" t="s">
        <v>45</v>
      </c>
      <c r="J180" s="12">
        <v>0.953</v>
      </c>
      <c r="K180" s="12" t="s">
        <v>46</v>
      </c>
      <c r="L180" s="12" t="s">
        <v>39</v>
      </c>
      <c r="M180" s="12" t="s">
        <v>78</v>
      </c>
      <c r="N180" s="12" t="s">
        <v>14</v>
      </c>
      <c r="O180" s="12" t="s">
        <v>6</v>
      </c>
      <c r="P180" s="12">
        <v>0</v>
      </c>
      <c r="Q180" s="12">
        <v>2</v>
      </c>
      <c r="R180" s="12" t="s">
        <v>13</v>
      </c>
      <c r="S180" s="12" t="s">
        <v>48</v>
      </c>
      <c r="T180" s="12" t="s">
        <v>48</v>
      </c>
      <c r="U180" s="12">
        <v>729</v>
      </c>
    </row>
    <row r="181" spans="1:21">
      <c r="A181" s="13">
        <v>45839</v>
      </c>
      <c r="B181" s="12">
        <v>123965150</v>
      </c>
      <c r="C181" s="12">
        <v>1991</v>
      </c>
      <c r="D181" s="12" t="s">
        <v>49</v>
      </c>
      <c r="E181" s="12" t="s">
        <v>50</v>
      </c>
      <c r="F181" s="12" t="s">
        <v>80</v>
      </c>
      <c r="G181" s="12" t="s">
        <v>81</v>
      </c>
      <c r="H181" s="12" t="s">
        <v>36</v>
      </c>
      <c r="I181" s="12" t="s">
        <v>45</v>
      </c>
      <c r="J181" s="12">
        <v>0.94</v>
      </c>
      <c r="K181" s="12" t="s">
        <v>82</v>
      </c>
      <c r="L181" s="12" t="s">
        <v>39</v>
      </c>
      <c r="M181" s="12" t="s">
        <v>47</v>
      </c>
      <c r="N181" s="12" t="s">
        <v>14</v>
      </c>
      <c r="O181" s="12" t="s">
        <v>6</v>
      </c>
      <c r="P181" s="12">
        <v>0</v>
      </c>
      <c r="Q181" s="12">
        <v>2</v>
      </c>
      <c r="R181" s="12" t="s">
        <v>11</v>
      </c>
      <c r="S181" s="14">
        <v>0.302777777777778</v>
      </c>
      <c r="T181" s="12" t="s">
        <v>41</v>
      </c>
      <c r="U181" s="12">
        <v>1458</v>
      </c>
    </row>
    <row r="182" spans="1:21">
      <c r="A182" s="13">
        <v>45992</v>
      </c>
      <c r="B182" s="12">
        <v>123849537</v>
      </c>
      <c r="C182" s="12">
        <v>1957</v>
      </c>
      <c r="D182" s="12" t="s">
        <v>97</v>
      </c>
      <c r="E182" s="12" t="s">
        <v>33</v>
      </c>
      <c r="F182" s="12" t="s">
        <v>56</v>
      </c>
      <c r="G182" s="12" t="s">
        <v>57</v>
      </c>
      <c r="H182" s="12" t="s">
        <v>58</v>
      </c>
      <c r="I182" s="12" t="s">
        <v>37</v>
      </c>
      <c r="J182" s="12">
        <v>0.988</v>
      </c>
      <c r="K182" s="12" t="s">
        <v>59</v>
      </c>
      <c r="L182" s="12" t="s">
        <v>84</v>
      </c>
      <c r="M182" s="12" t="s">
        <v>85</v>
      </c>
      <c r="N182" s="12" t="s">
        <v>14</v>
      </c>
      <c r="O182" s="12" t="s">
        <v>5</v>
      </c>
      <c r="P182" s="12">
        <v>3</v>
      </c>
      <c r="Q182" s="12">
        <v>1</v>
      </c>
      <c r="R182" s="12" t="s">
        <v>11</v>
      </c>
      <c r="S182" s="14">
        <v>0.840277777777778</v>
      </c>
      <c r="T182" s="12" t="s">
        <v>67</v>
      </c>
      <c r="U182" s="12">
        <v>27298</v>
      </c>
    </row>
    <row r="183" spans="1:21">
      <c r="A183" s="13">
        <v>45689</v>
      </c>
      <c r="B183" s="12">
        <v>123530749</v>
      </c>
      <c r="C183" s="12">
        <v>1957</v>
      </c>
      <c r="D183" s="12" t="s">
        <v>49</v>
      </c>
      <c r="E183" s="12" t="s">
        <v>33</v>
      </c>
      <c r="F183" s="12" t="s">
        <v>56</v>
      </c>
      <c r="G183" s="12" t="s">
        <v>57</v>
      </c>
      <c r="H183" s="12" t="s">
        <v>58</v>
      </c>
      <c r="I183" s="12" t="s">
        <v>45</v>
      </c>
      <c r="J183" s="12">
        <v>1.025</v>
      </c>
      <c r="K183" s="12" t="s">
        <v>59</v>
      </c>
      <c r="L183" s="12" t="s">
        <v>72</v>
      </c>
      <c r="M183" s="12" t="s">
        <v>95</v>
      </c>
      <c r="N183" s="12" t="s">
        <v>14</v>
      </c>
      <c r="O183" s="12" t="s">
        <v>6</v>
      </c>
      <c r="P183" s="12">
        <v>0</v>
      </c>
      <c r="Q183" s="12">
        <v>2</v>
      </c>
      <c r="R183" s="12" t="s">
        <v>11</v>
      </c>
      <c r="S183" s="12" t="s">
        <v>48</v>
      </c>
      <c r="T183" s="12" t="s">
        <v>48</v>
      </c>
      <c r="U183" s="12">
        <v>753</v>
      </c>
    </row>
    <row r="184" spans="1:21">
      <c r="A184" s="13">
        <v>45809</v>
      </c>
      <c r="B184" s="12">
        <v>123978205</v>
      </c>
      <c r="C184" s="12">
        <v>1964</v>
      </c>
      <c r="D184" s="12" t="s">
        <v>97</v>
      </c>
      <c r="E184" s="12" t="s">
        <v>33</v>
      </c>
      <c r="F184" s="12" t="s">
        <v>86</v>
      </c>
      <c r="G184" s="12" t="s">
        <v>87</v>
      </c>
      <c r="H184" s="12" t="s">
        <v>58</v>
      </c>
      <c r="I184" s="12" t="s">
        <v>45</v>
      </c>
      <c r="J184" s="12">
        <v>1.022</v>
      </c>
      <c r="K184" s="12" t="s">
        <v>88</v>
      </c>
      <c r="L184" s="12" t="s">
        <v>39</v>
      </c>
      <c r="M184" s="12" t="s">
        <v>78</v>
      </c>
      <c r="N184" s="12" t="s">
        <v>14</v>
      </c>
      <c r="O184" s="12" t="s">
        <v>6</v>
      </c>
      <c r="P184" s="12">
        <v>0</v>
      </c>
      <c r="Q184" s="12">
        <v>2</v>
      </c>
      <c r="R184" s="12" t="s">
        <v>13</v>
      </c>
      <c r="S184" s="14">
        <v>0.864583333333333</v>
      </c>
      <c r="T184" s="12" t="s">
        <v>67</v>
      </c>
      <c r="U184" s="12">
        <v>1203</v>
      </c>
    </row>
    <row r="185" spans="1:21">
      <c r="A185" s="13">
        <v>45901</v>
      </c>
      <c r="B185" s="12">
        <v>123977629</v>
      </c>
      <c r="C185" s="12">
        <v>1996</v>
      </c>
      <c r="D185" s="12" t="s">
        <v>61</v>
      </c>
      <c r="E185" s="12" t="s">
        <v>50</v>
      </c>
      <c r="F185" s="12" t="s">
        <v>91</v>
      </c>
      <c r="G185" s="12" t="s">
        <v>92</v>
      </c>
      <c r="H185" s="12" t="s">
        <v>58</v>
      </c>
      <c r="I185" s="12" t="s">
        <v>45</v>
      </c>
      <c r="J185" s="12">
        <v>0.976</v>
      </c>
      <c r="K185" s="12" t="s">
        <v>93</v>
      </c>
      <c r="L185" s="12" t="s">
        <v>60</v>
      </c>
      <c r="M185" s="12" t="s">
        <v>48</v>
      </c>
      <c r="N185" s="12" t="s">
        <v>12</v>
      </c>
      <c r="O185" s="12" t="s">
        <v>6</v>
      </c>
      <c r="P185" s="12">
        <v>0</v>
      </c>
      <c r="Q185" s="12">
        <v>2</v>
      </c>
      <c r="R185" s="12" t="s">
        <v>13</v>
      </c>
      <c r="S185" s="12" t="s">
        <v>48</v>
      </c>
      <c r="T185" s="12" t="s">
        <v>48</v>
      </c>
      <c r="U185" s="12">
        <v>1022</v>
      </c>
    </row>
    <row r="186" spans="1:21">
      <c r="A186" s="13">
        <v>45809</v>
      </c>
      <c r="B186" s="12">
        <v>123548150</v>
      </c>
      <c r="C186" s="12">
        <v>1996</v>
      </c>
      <c r="D186" s="12" t="s">
        <v>68</v>
      </c>
      <c r="E186" s="12" t="s">
        <v>50</v>
      </c>
      <c r="F186" s="12" t="s">
        <v>62</v>
      </c>
      <c r="G186" s="12" t="s">
        <v>63</v>
      </c>
      <c r="H186" s="12" t="s">
        <v>58</v>
      </c>
      <c r="I186" s="12" t="s">
        <v>45</v>
      </c>
      <c r="J186" s="12">
        <v>0.881</v>
      </c>
      <c r="K186" s="12" t="s">
        <v>64</v>
      </c>
      <c r="L186" s="12" t="s">
        <v>72</v>
      </c>
      <c r="M186" s="12" t="s">
        <v>95</v>
      </c>
      <c r="N186" s="12" t="s">
        <v>14</v>
      </c>
      <c r="O186" s="12" t="s">
        <v>6</v>
      </c>
      <c r="P186" s="12">
        <v>0</v>
      </c>
      <c r="Q186" s="12">
        <v>2</v>
      </c>
      <c r="R186" s="12" t="s">
        <v>11</v>
      </c>
      <c r="S186" s="14">
        <v>0.482638888888889</v>
      </c>
      <c r="T186" s="12" t="s">
        <v>41</v>
      </c>
      <c r="U186" s="12">
        <v>970</v>
      </c>
    </row>
    <row r="187" spans="1:21">
      <c r="A187" s="13">
        <v>45809</v>
      </c>
      <c r="B187" s="12">
        <v>123891680</v>
      </c>
      <c r="C187" s="12">
        <v>1987</v>
      </c>
      <c r="D187" s="12" t="s">
        <v>74</v>
      </c>
      <c r="E187" s="12" t="s">
        <v>50</v>
      </c>
      <c r="F187" s="12" t="s">
        <v>43</v>
      </c>
      <c r="G187" s="12" t="s">
        <v>44</v>
      </c>
      <c r="H187" s="12" t="s">
        <v>36</v>
      </c>
      <c r="I187" s="12" t="s">
        <v>45</v>
      </c>
      <c r="J187" s="12">
        <v>0.865</v>
      </c>
      <c r="K187" s="12" t="s">
        <v>46</v>
      </c>
      <c r="L187" s="12" t="s">
        <v>72</v>
      </c>
      <c r="M187" s="12" t="s">
        <v>95</v>
      </c>
      <c r="N187" s="12" t="s">
        <v>14</v>
      </c>
      <c r="O187" s="12" t="s">
        <v>6</v>
      </c>
      <c r="P187" s="12">
        <v>0</v>
      </c>
      <c r="Q187" s="12">
        <v>1</v>
      </c>
      <c r="R187" s="12" t="s">
        <v>13</v>
      </c>
      <c r="S187" s="12" t="s">
        <v>48</v>
      </c>
      <c r="T187" s="12" t="s">
        <v>48</v>
      </c>
      <c r="U187" s="12">
        <v>1896</v>
      </c>
    </row>
    <row r="188" spans="1:21">
      <c r="A188" s="13">
        <v>45689</v>
      </c>
      <c r="B188" s="12">
        <v>123677253</v>
      </c>
      <c r="C188" s="12">
        <v>1987</v>
      </c>
      <c r="D188" s="12" t="s">
        <v>97</v>
      </c>
      <c r="E188" s="12" t="s">
        <v>50</v>
      </c>
      <c r="F188" s="12" t="s">
        <v>86</v>
      </c>
      <c r="G188" s="12" t="s">
        <v>87</v>
      </c>
      <c r="H188" s="12" t="s">
        <v>58</v>
      </c>
      <c r="I188" s="12" t="s">
        <v>45</v>
      </c>
      <c r="J188" s="12">
        <v>0.977</v>
      </c>
      <c r="K188" s="12" t="s">
        <v>88</v>
      </c>
      <c r="L188" s="12" t="s">
        <v>39</v>
      </c>
      <c r="M188" s="12" t="s">
        <v>78</v>
      </c>
      <c r="N188" s="12" t="s">
        <v>14</v>
      </c>
      <c r="O188" s="12" t="s">
        <v>6</v>
      </c>
      <c r="P188" s="12">
        <v>0</v>
      </c>
      <c r="Q188" s="12">
        <v>2</v>
      </c>
      <c r="R188" s="12" t="s">
        <v>11</v>
      </c>
      <c r="S188" s="14">
        <v>0.280555555555556</v>
      </c>
      <c r="T188" s="12" t="s">
        <v>41</v>
      </c>
      <c r="U188" s="12">
        <v>205</v>
      </c>
    </row>
    <row r="189" spans="1:21">
      <c r="A189" s="13">
        <v>45778</v>
      </c>
      <c r="B189" s="12">
        <v>123778962</v>
      </c>
      <c r="C189" s="12">
        <v>1986</v>
      </c>
      <c r="D189" s="12" t="s">
        <v>100</v>
      </c>
      <c r="E189" s="12" t="s">
        <v>50</v>
      </c>
      <c r="F189" s="12" t="s">
        <v>43</v>
      </c>
      <c r="G189" s="12" t="s">
        <v>44</v>
      </c>
      <c r="H189" s="12" t="s">
        <v>36</v>
      </c>
      <c r="I189" s="12" t="s">
        <v>37</v>
      </c>
      <c r="J189" s="12">
        <v>0.853</v>
      </c>
      <c r="K189" s="12" t="s">
        <v>46</v>
      </c>
      <c r="L189" s="12" t="s">
        <v>39</v>
      </c>
      <c r="M189" s="12" t="s">
        <v>40</v>
      </c>
      <c r="N189" s="12" t="s">
        <v>14</v>
      </c>
      <c r="O189" s="12" t="s">
        <v>4</v>
      </c>
      <c r="P189" s="12">
        <v>1</v>
      </c>
      <c r="Q189" s="12">
        <v>2</v>
      </c>
      <c r="R189" s="12" t="s">
        <v>11</v>
      </c>
      <c r="S189" s="14">
        <v>0.685416666666667</v>
      </c>
      <c r="T189" s="12" t="s">
        <v>67</v>
      </c>
      <c r="U189" s="12">
        <v>4916</v>
      </c>
    </row>
    <row r="190" spans="1:21">
      <c r="A190" s="13">
        <v>45717</v>
      </c>
      <c r="B190" s="12">
        <v>123698180</v>
      </c>
      <c r="C190" s="12">
        <v>1992</v>
      </c>
      <c r="D190" s="12" t="s">
        <v>83</v>
      </c>
      <c r="E190" s="12" t="s">
        <v>50</v>
      </c>
      <c r="F190" s="12" t="s">
        <v>62</v>
      </c>
      <c r="G190" s="12" t="s">
        <v>63</v>
      </c>
      <c r="H190" s="12" t="s">
        <v>58</v>
      </c>
      <c r="I190" s="12" t="s">
        <v>45</v>
      </c>
      <c r="J190" s="12">
        <v>0.99</v>
      </c>
      <c r="K190" s="12" t="s">
        <v>64</v>
      </c>
      <c r="L190" s="12" t="s">
        <v>39</v>
      </c>
      <c r="M190" s="12" t="s">
        <v>40</v>
      </c>
      <c r="N190" s="12" t="s">
        <v>14</v>
      </c>
      <c r="O190" s="12" t="s">
        <v>5</v>
      </c>
      <c r="P190" s="12">
        <v>7</v>
      </c>
      <c r="Q190" s="12">
        <v>3</v>
      </c>
      <c r="R190" s="12" t="s">
        <v>11</v>
      </c>
      <c r="S190" s="14">
        <v>0.309722222222222</v>
      </c>
      <c r="T190" s="12" t="s">
        <v>41</v>
      </c>
      <c r="U190" s="12">
        <v>69189</v>
      </c>
    </row>
    <row r="191" spans="1:21">
      <c r="A191" s="13">
        <v>45748</v>
      </c>
      <c r="B191" s="12">
        <v>123881746</v>
      </c>
      <c r="C191" s="12">
        <v>1995</v>
      </c>
      <c r="D191" s="12" t="s">
        <v>49</v>
      </c>
      <c r="E191" s="12" t="s">
        <v>50</v>
      </c>
      <c r="F191" s="12" t="s">
        <v>75</v>
      </c>
      <c r="G191" s="12" t="s">
        <v>76</v>
      </c>
      <c r="H191" s="12" t="s">
        <v>53</v>
      </c>
      <c r="I191" s="12" t="s">
        <v>45</v>
      </c>
      <c r="J191" s="12">
        <v>1.031</v>
      </c>
      <c r="K191" s="12" t="s">
        <v>77</v>
      </c>
      <c r="L191" s="12" t="s">
        <v>39</v>
      </c>
      <c r="M191" s="12" t="s">
        <v>78</v>
      </c>
      <c r="N191" s="12" t="s">
        <v>14</v>
      </c>
      <c r="O191" s="12" t="s">
        <v>6</v>
      </c>
      <c r="P191" s="12">
        <v>0</v>
      </c>
      <c r="Q191" s="12">
        <v>2</v>
      </c>
      <c r="R191" s="12" t="s">
        <v>13</v>
      </c>
      <c r="S191" s="12" t="s">
        <v>48</v>
      </c>
      <c r="T191" s="12" t="s">
        <v>48</v>
      </c>
      <c r="U191" s="12">
        <v>2133</v>
      </c>
    </row>
    <row r="192" spans="1:21">
      <c r="A192" s="13">
        <v>45901</v>
      </c>
      <c r="B192" s="12">
        <v>123998181</v>
      </c>
      <c r="C192" s="12">
        <v>1973</v>
      </c>
      <c r="D192" s="12" t="s">
        <v>61</v>
      </c>
      <c r="E192" s="12" t="s">
        <v>33</v>
      </c>
      <c r="F192" s="12" t="s">
        <v>51</v>
      </c>
      <c r="G192" s="12" t="s">
        <v>52</v>
      </c>
      <c r="H192" s="12" t="s">
        <v>53</v>
      </c>
      <c r="I192" s="12" t="s">
        <v>45</v>
      </c>
      <c r="J192" s="12">
        <v>0.826</v>
      </c>
      <c r="K192" s="12" t="s">
        <v>54</v>
      </c>
      <c r="L192" s="12" t="s">
        <v>72</v>
      </c>
      <c r="M192" s="12" t="s">
        <v>73</v>
      </c>
      <c r="N192" s="12" t="s">
        <v>14</v>
      </c>
      <c r="O192" s="12" t="s">
        <v>6</v>
      </c>
      <c r="P192" s="12">
        <v>0</v>
      </c>
      <c r="Q192" s="12">
        <v>1</v>
      </c>
      <c r="R192" s="12" t="s">
        <v>11</v>
      </c>
      <c r="S192" s="14">
        <v>0.484027777777778</v>
      </c>
      <c r="T192" s="12" t="s">
        <v>41</v>
      </c>
      <c r="U192" s="12">
        <v>904</v>
      </c>
    </row>
    <row r="193" spans="1:21">
      <c r="A193" s="13">
        <v>45870</v>
      </c>
      <c r="B193" s="12">
        <v>123888541</v>
      </c>
      <c r="C193" s="12">
        <v>1990</v>
      </c>
      <c r="D193" s="12" t="s">
        <v>100</v>
      </c>
      <c r="E193" s="12" t="s">
        <v>33</v>
      </c>
      <c r="F193" s="12" t="s">
        <v>80</v>
      </c>
      <c r="G193" s="12" t="s">
        <v>81</v>
      </c>
      <c r="H193" s="12" t="s">
        <v>36</v>
      </c>
      <c r="I193" s="12" t="s">
        <v>45</v>
      </c>
      <c r="J193" s="12">
        <v>1.158</v>
      </c>
      <c r="K193" s="12" t="s">
        <v>82</v>
      </c>
      <c r="L193" s="12" t="s">
        <v>72</v>
      </c>
      <c r="M193" s="12" t="s">
        <v>73</v>
      </c>
      <c r="N193" s="12" t="s">
        <v>14</v>
      </c>
      <c r="O193" s="12" t="s">
        <v>5</v>
      </c>
      <c r="P193" s="12">
        <v>4</v>
      </c>
      <c r="Q193" s="12">
        <v>2</v>
      </c>
      <c r="R193" s="12" t="s">
        <v>13</v>
      </c>
      <c r="S193" s="14">
        <v>0.718055555555556</v>
      </c>
      <c r="T193" s="12" t="s">
        <v>67</v>
      </c>
      <c r="U193" s="12">
        <v>62686</v>
      </c>
    </row>
    <row r="194" spans="1:21">
      <c r="A194" s="13">
        <v>45870</v>
      </c>
      <c r="B194" s="12">
        <v>123962665</v>
      </c>
      <c r="C194" s="12">
        <v>1977</v>
      </c>
      <c r="D194" s="12" t="s">
        <v>79</v>
      </c>
      <c r="E194" s="12" t="s">
        <v>50</v>
      </c>
      <c r="F194" s="12" t="s">
        <v>56</v>
      </c>
      <c r="G194" s="12" t="s">
        <v>57</v>
      </c>
      <c r="H194" s="12" t="s">
        <v>58</v>
      </c>
      <c r="I194" s="12" t="s">
        <v>45</v>
      </c>
      <c r="J194" s="12">
        <v>1.074</v>
      </c>
      <c r="K194" s="12" t="s">
        <v>59</v>
      </c>
      <c r="L194" s="12" t="s">
        <v>60</v>
      </c>
      <c r="M194" s="12" t="s">
        <v>48</v>
      </c>
      <c r="N194" s="12" t="s">
        <v>12</v>
      </c>
      <c r="O194" s="12" t="s">
        <v>6</v>
      </c>
      <c r="P194" s="12">
        <v>0</v>
      </c>
      <c r="Q194" s="12">
        <v>2</v>
      </c>
      <c r="R194" s="12" t="s">
        <v>11</v>
      </c>
      <c r="S194" s="14">
        <v>0.28125</v>
      </c>
      <c r="T194" s="12" t="s">
        <v>41</v>
      </c>
      <c r="U194" s="12">
        <v>217</v>
      </c>
    </row>
    <row r="195" spans="1:21">
      <c r="A195" s="13">
        <v>45778</v>
      </c>
      <c r="B195" s="12">
        <v>123970637</v>
      </c>
      <c r="C195" s="12">
        <v>1985</v>
      </c>
      <c r="D195" s="12" t="s">
        <v>61</v>
      </c>
      <c r="E195" s="12" t="s">
        <v>33</v>
      </c>
      <c r="F195" s="12" t="s">
        <v>51</v>
      </c>
      <c r="G195" s="12" t="s">
        <v>52</v>
      </c>
      <c r="H195" s="12" t="s">
        <v>53</v>
      </c>
      <c r="I195" s="12" t="s">
        <v>45</v>
      </c>
      <c r="J195" s="12">
        <v>0.905</v>
      </c>
      <c r="K195" s="12" t="s">
        <v>54</v>
      </c>
      <c r="L195" s="12" t="s">
        <v>99</v>
      </c>
      <c r="M195" s="12" t="s">
        <v>48</v>
      </c>
      <c r="N195" s="12" t="s">
        <v>12</v>
      </c>
      <c r="O195" s="12" t="s">
        <v>6</v>
      </c>
      <c r="P195" s="12">
        <v>0</v>
      </c>
      <c r="Q195" s="12">
        <v>1</v>
      </c>
      <c r="R195" s="12" t="s">
        <v>11</v>
      </c>
      <c r="S195" s="12" t="s">
        <v>48</v>
      </c>
      <c r="T195" s="12" t="s">
        <v>48</v>
      </c>
      <c r="U195" s="12">
        <v>551</v>
      </c>
    </row>
    <row r="196" spans="1:21">
      <c r="A196" s="13">
        <v>45992</v>
      </c>
      <c r="B196" s="12">
        <v>123505017</v>
      </c>
      <c r="C196" s="12">
        <v>1997</v>
      </c>
      <c r="D196" s="12" t="s">
        <v>90</v>
      </c>
      <c r="E196" s="12" t="s">
        <v>33</v>
      </c>
      <c r="F196" s="12" t="s">
        <v>56</v>
      </c>
      <c r="G196" s="12" t="s">
        <v>57</v>
      </c>
      <c r="H196" s="12" t="s">
        <v>58</v>
      </c>
      <c r="I196" s="12" t="s">
        <v>45</v>
      </c>
      <c r="J196" s="12">
        <v>1.116</v>
      </c>
      <c r="K196" s="12" t="s">
        <v>59</v>
      </c>
      <c r="L196" s="12" t="s">
        <v>39</v>
      </c>
      <c r="M196" s="12" t="s">
        <v>40</v>
      </c>
      <c r="N196" s="12" t="s">
        <v>14</v>
      </c>
      <c r="O196" s="12" t="s">
        <v>5</v>
      </c>
      <c r="P196" s="12">
        <v>5</v>
      </c>
      <c r="Q196" s="12">
        <v>3</v>
      </c>
      <c r="R196" s="12" t="s">
        <v>13</v>
      </c>
      <c r="S196" s="14">
        <v>0.654166666666667</v>
      </c>
      <c r="T196" s="12" t="s">
        <v>67</v>
      </c>
      <c r="U196" s="12">
        <v>40266</v>
      </c>
    </row>
    <row r="197" spans="1:21">
      <c r="A197" s="13">
        <v>45689</v>
      </c>
      <c r="B197" s="12">
        <v>123593840</v>
      </c>
      <c r="C197" s="12">
        <v>2001</v>
      </c>
      <c r="D197" s="12" t="s">
        <v>97</v>
      </c>
      <c r="E197" s="12" t="s">
        <v>50</v>
      </c>
      <c r="F197" s="12" t="s">
        <v>86</v>
      </c>
      <c r="G197" s="12" t="s">
        <v>87</v>
      </c>
      <c r="H197" s="12" t="s">
        <v>58</v>
      </c>
      <c r="I197" s="12" t="s">
        <v>45</v>
      </c>
      <c r="J197" s="12">
        <v>1.084</v>
      </c>
      <c r="K197" s="12" t="s">
        <v>88</v>
      </c>
      <c r="L197" s="12" t="s">
        <v>39</v>
      </c>
      <c r="M197" s="12" t="s">
        <v>47</v>
      </c>
      <c r="N197" s="12" t="s">
        <v>14</v>
      </c>
      <c r="O197" s="12" t="s">
        <v>6</v>
      </c>
      <c r="P197" s="12">
        <v>0</v>
      </c>
      <c r="Q197" s="12">
        <v>1</v>
      </c>
      <c r="R197" s="12" t="s">
        <v>13</v>
      </c>
      <c r="S197" s="14">
        <v>0.750694444444444</v>
      </c>
      <c r="T197" s="12" t="s">
        <v>67</v>
      </c>
      <c r="U197" s="12">
        <v>1015</v>
      </c>
    </row>
    <row r="198" spans="1:21">
      <c r="A198" s="13">
        <v>45778</v>
      </c>
      <c r="B198" s="12">
        <v>123848689</v>
      </c>
      <c r="C198" s="12">
        <v>1987</v>
      </c>
      <c r="D198" s="12" t="s">
        <v>61</v>
      </c>
      <c r="E198" s="12" t="s">
        <v>50</v>
      </c>
      <c r="F198" s="12" t="s">
        <v>56</v>
      </c>
      <c r="G198" s="12" t="s">
        <v>57</v>
      </c>
      <c r="H198" s="12" t="s">
        <v>58</v>
      </c>
      <c r="I198" s="12" t="s">
        <v>45</v>
      </c>
      <c r="J198" s="12">
        <v>0.959</v>
      </c>
      <c r="K198" s="12" t="s">
        <v>59</v>
      </c>
      <c r="L198" s="12" t="s">
        <v>65</v>
      </c>
      <c r="M198" s="12" t="s">
        <v>66</v>
      </c>
      <c r="N198" s="12" t="s">
        <v>14</v>
      </c>
      <c r="O198" s="12" t="s">
        <v>6</v>
      </c>
      <c r="P198" s="12">
        <v>0</v>
      </c>
      <c r="Q198" s="12">
        <v>1</v>
      </c>
      <c r="R198" s="12" t="s">
        <v>13</v>
      </c>
      <c r="S198" s="12" t="s">
        <v>48</v>
      </c>
      <c r="T198" s="12" t="s">
        <v>48</v>
      </c>
      <c r="U198" s="12">
        <v>676</v>
      </c>
    </row>
    <row r="199" spans="1:21">
      <c r="A199" s="13">
        <v>45689</v>
      </c>
      <c r="B199" s="12">
        <v>123777000</v>
      </c>
      <c r="C199" s="12">
        <v>2002</v>
      </c>
      <c r="D199" s="12" t="s">
        <v>68</v>
      </c>
      <c r="E199" s="12" t="s">
        <v>33</v>
      </c>
      <c r="F199" s="12" t="s">
        <v>34</v>
      </c>
      <c r="G199" s="12" t="s">
        <v>35</v>
      </c>
      <c r="H199" s="12" t="s">
        <v>36</v>
      </c>
      <c r="I199" s="12" t="s">
        <v>45</v>
      </c>
      <c r="J199" s="12">
        <v>0.882</v>
      </c>
      <c r="K199" s="12" t="s">
        <v>38</v>
      </c>
      <c r="L199" s="12" t="s">
        <v>99</v>
      </c>
      <c r="M199" s="12" t="s">
        <v>48</v>
      </c>
      <c r="N199" s="12" t="s">
        <v>12</v>
      </c>
      <c r="O199" s="12" t="s">
        <v>6</v>
      </c>
      <c r="P199" s="12">
        <v>0</v>
      </c>
      <c r="Q199" s="12">
        <v>1</v>
      </c>
      <c r="R199" s="12" t="s">
        <v>11</v>
      </c>
      <c r="S199" s="12" t="s">
        <v>48</v>
      </c>
      <c r="T199" s="12" t="s">
        <v>48</v>
      </c>
      <c r="U199" s="12">
        <v>1230</v>
      </c>
    </row>
    <row r="200" spans="1:21">
      <c r="A200" s="13">
        <v>45778</v>
      </c>
      <c r="B200" s="12">
        <v>123483279</v>
      </c>
      <c r="C200" s="12">
        <v>1994</v>
      </c>
      <c r="D200" s="12" t="s">
        <v>83</v>
      </c>
      <c r="E200" s="12" t="s">
        <v>33</v>
      </c>
      <c r="F200" s="12" t="s">
        <v>80</v>
      </c>
      <c r="G200" s="12" t="s">
        <v>81</v>
      </c>
      <c r="H200" s="12" t="s">
        <v>36</v>
      </c>
      <c r="I200" s="12" t="s">
        <v>45</v>
      </c>
      <c r="J200" s="12">
        <v>1.08</v>
      </c>
      <c r="K200" s="12" t="s">
        <v>82</v>
      </c>
      <c r="L200" s="12" t="s">
        <v>60</v>
      </c>
      <c r="M200" s="12" t="s">
        <v>48</v>
      </c>
      <c r="N200" s="12" t="s">
        <v>12</v>
      </c>
      <c r="O200" s="12" t="s">
        <v>6</v>
      </c>
      <c r="P200" s="12">
        <v>0</v>
      </c>
      <c r="Q200" s="12">
        <v>1</v>
      </c>
      <c r="R200" s="12" t="s">
        <v>11</v>
      </c>
      <c r="S200" s="12" t="s">
        <v>48</v>
      </c>
      <c r="T200" s="12" t="s">
        <v>48</v>
      </c>
      <c r="U200" s="12">
        <v>350</v>
      </c>
    </row>
    <row r="201" spans="1:21">
      <c r="A201" s="13">
        <v>45992</v>
      </c>
      <c r="B201" s="12">
        <v>123507706</v>
      </c>
      <c r="C201" s="12">
        <v>1957</v>
      </c>
      <c r="D201" s="12" t="s">
        <v>79</v>
      </c>
      <c r="E201" s="12" t="s">
        <v>33</v>
      </c>
      <c r="F201" s="12" t="s">
        <v>56</v>
      </c>
      <c r="G201" s="12" t="s">
        <v>57</v>
      </c>
      <c r="H201" s="12" t="s">
        <v>58</v>
      </c>
      <c r="I201" s="12" t="s">
        <v>37</v>
      </c>
      <c r="J201" s="12">
        <v>1.198</v>
      </c>
      <c r="K201" s="12" t="s">
        <v>59</v>
      </c>
      <c r="L201" s="12" t="s">
        <v>39</v>
      </c>
      <c r="M201" s="12" t="s">
        <v>78</v>
      </c>
      <c r="N201" s="12" t="s">
        <v>14</v>
      </c>
      <c r="O201" s="12" t="s">
        <v>6</v>
      </c>
      <c r="P201" s="12">
        <v>0</v>
      </c>
      <c r="Q201" s="12">
        <v>3</v>
      </c>
      <c r="R201" s="12" t="s">
        <v>13</v>
      </c>
      <c r="S201" s="12" t="s">
        <v>48</v>
      </c>
      <c r="T201" s="12" t="s">
        <v>48</v>
      </c>
      <c r="U201" s="12">
        <v>1211</v>
      </c>
    </row>
    <row r="202" spans="1:21">
      <c r="A202" s="13">
        <v>45778</v>
      </c>
      <c r="B202" s="12">
        <v>123739177</v>
      </c>
      <c r="C202" s="12">
        <v>1977</v>
      </c>
      <c r="D202" s="12" t="s">
        <v>61</v>
      </c>
      <c r="E202" s="12" t="s">
        <v>33</v>
      </c>
      <c r="F202" s="12" t="s">
        <v>43</v>
      </c>
      <c r="G202" s="12" t="s">
        <v>44</v>
      </c>
      <c r="H202" s="12" t="s">
        <v>36</v>
      </c>
      <c r="I202" s="12" t="s">
        <v>45</v>
      </c>
      <c r="J202" s="12">
        <v>1.18</v>
      </c>
      <c r="K202" s="12" t="s">
        <v>46</v>
      </c>
      <c r="L202" s="12" t="s">
        <v>39</v>
      </c>
      <c r="M202" s="12" t="s">
        <v>47</v>
      </c>
      <c r="N202" s="12" t="s">
        <v>14</v>
      </c>
      <c r="O202" s="12" t="s">
        <v>5</v>
      </c>
      <c r="P202" s="12">
        <v>7</v>
      </c>
      <c r="Q202" s="12">
        <v>2</v>
      </c>
      <c r="R202" s="12" t="s">
        <v>13</v>
      </c>
      <c r="S202" s="14">
        <v>0.359722222222222</v>
      </c>
      <c r="T202" s="12" t="s">
        <v>41</v>
      </c>
      <c r="U202" s="12">
        <v>61284</v>
      </c>
    </row>
    <row r="203" spans="1:21">
      <c r="A203" s="13">
        <v>45962</v>
      </c>
      <c r="B203" s="12">
        <v>123791193</v>
      </c>
      <c r="C203" s="12">
        <v>1980</v>
      </c>
      <c r="D203" s="12" t="s">
        <v>49</v>
      </c>
      <c r="E203" s="12" t="s">
        <v>33</v>
      </c>
      <c r="F203" s="12" t="s">
        <v>75</v>
      </c>
      <c r="G203" s="12" t="s">
        <v>76</v>
      </c>
      <c r="H203" s="12" t="s">
        <v>53</v>
      </c>
      <c r="I203" s="12" t="s">
        <v>37</v>
      </c>
      <c r="J203" s="12">
        <v>1.053</v>
      </c>
      <c r="K203" s="12" t="s">
        <v>77</v>
      </c>
      <c r="L203" s="12" t="s">
        <v>39</v>
      </c>
      <c r="M203" s="12" t="s">
        <v>47</v>
      </c>
      <c r="N203" s="12" t="s">
        <v>14</v>
      </c>
      <c r="O203" s="12" t="s">
        <v>6</v>
      </c>
      <c r="P203" s="12">
        <v>0</v>
      </c>
      <c r="Q203" s="12">
        <v>1</v>
      </c>
      <c r="R203" s="12" t="s">
        <v>11</v>
      </c>
      <c r="S203" s="12" t="s">
        <v>48</v>
      </c>
      <c r="T203" s="12" t="s">
        <v>48</v>
      </c>
      <c r="U203" s="12">
        <v>756</v>
      </c>
    </row>
    <row r="204" spans="1:21">
      <c r="A204" s="13">
        <v>45809</v>
      </c>
      <c r="B204" s="12">
        <v>123547239</v>
      </c>
      <c r="C204" s="12">
        <v>1960</v>
      </c>
      <c r="D204" s="12" t="s">
        <v>32</v>
      </c>
      <c r="E204" s="12" t="s">
        <v>50</v>
      </c>
      <c r="F204" s="12" t="s">
        <v>80</v>
      </c>
      <c r="G204" s="12" t="s">
        <v>81</v>
      </c>
      <c r="H204" s="12" t="s">
        <v>36</v>
      </c>
      <c r="I204" s="12" t="s">
        <v>37</v>
      </c>
      <c r="J204" s="12">
        <v>0.872</v>
      </c>
      <c r="K204" s="12" t="s">
        <v>82</v>
      </c>
      <c r="L204" s="12" t="s">
        <v>65</v>
      </c>
      <c r="M204" s="12" t="s">
        <v>96</v>
      </c>
      <c r="N204" s="12" t="s">
        <v>14</v>
      </c>
      <c r="O204" s="12" t="s">
        <v>6</v>
      </c>
      <c r="P204" s="12">
        <v>0</v>
      </c>
      <c r="Q204" s="12">
        <v>2</v>
      </c>
      <c r="R204" s="12" t="s">
        <v>13</v>
      </c>
      <c r="S204" s="12" t="s">
        <v>48</v>
      </c>
      <c r="T204" s="12" t="s">
        <v>48</v>
      </c>
      <c r="U204" s="12">
        <v>339</v>
      </c>
    </row>
    <row r="205" spans="1:21">
      <c r="A205" s="13">
        <v>45901</v>
      </c>
      <c r="B205" s="12">
        <v>123549182</v>
      </c>
      <c r="C205" s="12">
        <v>1988</v>
      </c>
      <c r="D205" s="12" t="s">
        <v>74</v>
      </c>
      <c r="E205" s="12" t="s">
        <v>33</v>
      </c>
      <c r="F205" s="12" t="s">
        <v>56</v>
      </c>
      <c r="G205" s="12" t="s">
        <v>57</v>
      </c>
      <c r="H205" s="12" t="s">
        <v>58</v>
      </c>
      <c r="I205" s="12" t="s">
        <v>45</v>
      </c>
      <c r="J205" s="12">
        <v>1.185</v>
      </c>
      <c r="K205" s="12" t="s">
        <v>59</v>
      </c>
      <c r="L205" s="12" t="s">
        <v>84</v>
      </c>
      <c r="M205" s="12" t="s">
        <v>85</v>
      </c>
      <c r="N205" s="12" t="s">
        <v>14</v>
      </c>
      <c r="O205" s="12" t="s">
        <v>5</v>
      </c>
      <c r="P205" s="12">
        <v>5</v>
      </c>
      <c r="Q205" s="12">
        <v>2</v>
      </c>
      <c r="R205" s="12" t="s">
        <v>11</v>
      </c>
      <c r="S205" s="14">
        <v>0.369444444444444</v>
      </c>
      <c r="T205" s="12" t="s">
        <v>41</v>
      </c>
      <c r="U205" s="12">
        <v>4489</v>
      </c>
    </row>
    <row r="206" spans="1:21">
      <c r="A206" s="13">
        <v>45809</v>
      </c>
      <c r="B206" s="12">
        <v>123526360</v>
      </c>
      <c r="C206" s="12">
        <v>1956</v>
      </c>
      <c r="D206" s="12" t="s">
        <v>83</v>
      </c>
      <c r="E206" s="12" t="s">
        <v>50</v>
      </c>
      <c r="F206" s="12" t="s">
        <v>43</v>
      </c>
      <c r="G206" s="12" t="s">
        <v>44</v>
      </c>
      <c r="H206" s="12" t="s">
        <v>36</v>
      </c>
      <c r="I206" s="12" t="s">
        <v>37</v>
      </c>
      <c r="J206" s="12">
        <v>0.999</v>
      </c>
      <c r="K206" s="12" t="s">
        <v>46</v>
      </c>
      <c r="L206" s="12" t="s">
        <v>72</v>
      </c>
      <c r="M206" s="12" t="s">
        <v>73</v>
      </c>
      <c r="N206" s="12" t="s">
        <v>14</v>
      </c>
      <c r="O206" s="12" t="s">
        <v>6</v>
      </c>
      <c r="P206" s="12">
        <v>0</v>
      </c>
      <c r="Q206" s="12">
        <v>1</v>
      </c>
      <c r="R206" s="12" t="s">
        <v>11</v>
      </c>
      <c r="S206" s="12" t="s">
        <v>48</v>
      </c>
      <c r="T206" s="12" t="s">
        <v>48</v>
      </c>
      <c r="U206" s="12">
        <v>1107</v>
      </c>
    </row>
    <row r="207" spans="1:21">
      <c r="A207" s="13">
        <v>45748</v>
      </c>
      <c r="B207" s="12">
        <v>123763332</v>
      </c>
      <c r="C207" s="12">
        <v>2000</v>
      </c>
      <c r="D207" s="12" t="s">
        <v>100</v>
      </c>
      <c r="E207" s="12" t="s">
        <v>33</v>
      </c>
      <c r="F207" s="12" t="s">
        <v>80</v>
      </c>
      <c r="G207" s="12" t="s">
        <v>81</v>
      </c>
      <c r="H207" s="12" t="s">
        <v>36</v>
      </c>
      <c r="I207" s="12" t="s">
        <v>45</v>
      </c>
      <c r="J207" s="12">
        <v>1.061</v>
      </c>
      <c r="K207" s="12" t="s">
        <v>82</v>
      </c>
      <c r="L207" s="12" t="s">
        <v>72</v>
      </c>
      <c r="M207" s="12" t="s">
        <v>73</v>
      </c>
      <c r="N207" s="12" t="s">
        <v>14</v>
      </c>
      <c r="O207" s="12" t="s">
        <v>6</v>
      </c>
      <c r="P207" s="12">
        <v>0</v>
      </c>
      <c r="Q207" s="12">
        <v>1</v>
      </c>
      <c r="R207" s="12" t="s">
        <v>11</v>
      </c>
      <c r="S207" s="12" t="s">
        <v>48</v>
      </c>
      <c r="T207" s="12" t="s">
        <v>48</v>
      </c>
      <c r="U207" s="12">
        <v>908</v>
      </c>
    </row>
    <row r="208" spans="1:21">
      <c r="A208" s="13">
        <v>45931</v>
      </c>
      <c r="B208" s="12">
        <v>123460272</v>
      </c>
      <c r="C208" s="12">
        <v>1983</v>
      </c>
      <c r="D208" s="12" t="s">
        <v>79</v>
      </c>
      <c r="E208" s="12" t="s">
        <v>50</v>
      </c>
      <c r="F208" s="12" t="s">
        <v>69</v>
      </c>
      <c r="G208" s="12" t="s">
        <v>70</v>
      </c>
      <c r="H208" s="12" t="s">
        <v>58</v>
      </c>
      <c r="I208" s="12" t="s">
        <v>45</v>
      </c>
      <c r="J208" s="12">
        <v>1.039</v>
      </c>
      <c r="K208" s="12" t="s">
        <v>71</v>
      </c>
      <c r="L208" s="12" t="s">
        <v>39</v>
      </c>
      <c r="M208" s="12" t="s">
        <v>47</v>
      </c>
      <c r="N208" s="12" t="s">
        <v>14</v>
      </c>
      <c r="O208" s="12" t="s">
        <v>6</v>
      </c>
      <c r="P208" s="12">
        <v>0</v>
      </c>
      <c r="Q208" s="12">
        <v>2</v>
      </c>
      <c r="R208" s="12" t="s">
        <v>11</v>
      </c>
      <c r="S208" s="12" t="s">
        <v>48</v>
      </c>
      <c r="T208" s="12" t="s">
        <v>48</v>
      </c>
      <c r="U208" s="12">
        <v>1219</v>
      </c>
    </row>
    <row r="209" spans="1:21">
      <c r="A209" s="13">
        <v>45992</v>
      </c>
      <c r="B209" s="12">
        <v>123767401</v>
      </c>
      <c r="C209" s="12">
        <v>2001</v>
      </c>
      <c r="D209" s="12" t="s">
        <v>42</v>
      </c>
      <c r="E209" s="12" t="s">
        <v>50</v>
      </c>
      <c r="F209" s="12" t="s">
        <v>86</v>
      </c>
      <c r="G209" s="12" t="s">
        <v>87</v>
      </c>
      <c r="H209" s="12" t="s">
        <v>58</v>
      </c>
      <c r="I209" s="12" t="s">
        <v>45</v>
      </c>
      <c r="J209" s="12">
        <v>1.015</v>
      </c>
      <c r="K209" s="12" t="s">
        <v>88</v>
      </c>
      <c r="L209" s="12" t="s">
        <v>84</v>
      </c>
      <c r="M209" s="12" t="s">
        <v>89</v>
      </c>
      <c r="N209" s="12" t="s">
        <v>14</v>
      </c>
      <c r="O209" s="12" t="s">
        <v>5</v>
      </c>
      <c r="P209" s="12">
        <v>3</v>
      </c>
      <c r="Q209" s="12">
        <v>1</v>
      </c>
      <c r="R209" s="12" t="s">
        <v>11</v>
      </c>
      <c r="S209" s="14">
        <v>0.640972222222222</v>
      </c>
      <c r="T209" s="12" t="s">
        <v>67</v>
      </c>
      <c r="U209" s="12">
        <v>22502</v>
      </c>
    </row>
    <row r="210" spans="1:21">
      <c r="A210" s="13">
        <v>45748</v>
      </c>
      <c r="B210" s="12">
        <v>123714904</v>
      </c>
      <c r="C210" s="12">
        <v>1986</v>
      </c>
      <c r="D210" s="12" t="s">
        <v>74</v>
      </c>
      <c r="E210" s="12" t="s">
        <v>33</v>
      </c>
      <c r="F210" s="12" t="s">
        <v>86</v>
      </c>
      <c r="G210" s="12" t="s">
        <v>87</v>
      </c>
      <c r="H210" s="12" t="s">
        <v>58</v>
      </c>
      <c r="I210" s="12" t="s">
        <v>45</v>
      </c>
      <c r="J210" s="12">
        <v>0.972</v>
      </c>
      <c r="K210" s="12" t="s">
        <v>88</v>
      </c>
      <c r="L210" s="12" t="s">
        <v>39</v>
      </c>
      <c r="M210" s="12" t="s">
        <v>78</v>
      </c>
      <c r="N210" s="12" t="s">
        <v>14</v>
      </c>
      <c r="O210" s="12" t="s">
        <v>6</v>
      </c>
      <c r="P210" s="12">
        <v>0</v>
      </c>
      <c r="Q210" s="12">
        <v>2</v>
      </c>
      <c r="R210" s="12" t="s">
        <v>11</v>
      </c>
      <c r="S210" s="12" t="s">
        <v>48</v>
      </c>
      <c r="T210" s="12" t="s">
        <v>48</v>
      </c>
      <c r="U210" s="12">
        <v>929</v>
      </c>
    </row>
    <row r="211" spans="1:21">
      <c r="A211" s="13">
        <v>45931</v>
      </c>
      <c r="B211" s="12">
        <v>123709495</v>
      </c>
      <c r="C211" s="12">
        <v>1983</v>
      </c>
      <c r="D211" s="12" t="s">
        <v>61</v>
      </c>
      <c r="E211" s="12" t="s">
        <v>50</v>
      </c>
      <c r="F211" s="12" t="s">
        <v>43</v>
      </c>
      <c r="G211" s="12" t="s">
        <v>44</v>
      </c>
      <c r="H211" s="12" t="s">
        <v>36</v>
      </c>
      <c r="I211" s="12" t="s">
        <v>45</v>
      </c>
      <c r="J211" s="12">
        <v>1.117</v>
      </c>
      <c r="K211" s="12" t="s">
        <v>46</v>
      </c>
      <c r="L211" s="12" t="s">
        <v>84</v>
      </c>
      <c r="M211" s="12" t="s">
        <v>89</v>
      </c>
      <c r="N211" s="12" t="s">
        <v>14</v>
      </c>
      <c r="O211" s="12" t="s">
        <v>5</v>
      </c>
      <c r="P211" s="12">
        <v>4</v>
      </c>
      <c r="Q211" s="12">
        <v>1</v>
      </c>
      <c r="R211" s="12" t="s">
        <v>13</v>
      </c>
      <c r="S211" s="14">
        <v>0.529861111111111</v>
      </c>
      <c r="T211" s="12" t="s">
        <v>67</v>
      </c>
      <c r="U211" s="12">
        <v>96445</v>
      </c>
    </row>
    <row r="212" spans="1:21">
      <c r="A212" s="13">
        <v>45748</v>
      </c>
      <c r="B212" s="12">
        <v>123825525</v>
      </c>
      <c r="C212" s="12">
        <v>1998</v>
      </c>
      <c r="D212" s="12" t="s">
        <v>49</v>
      </c>
      <c r="E212" s="12" t="s">
        <v>33</v>
      </c>
      <c r="F212" s="12" t="s">
        <v>51</v>
      </c>
      <c r="G212" s="12" t="s">
        <v>52</v>
      </c>
      <c r="H212" s="12" t="s">
        <v>53</v>
      </c>
      <c r="I212" s="12" t="s">
        <v>45</v>
      </c>
      <c r="J212" s="12">
        <v>1.089</v>
      </c>
      <c r="K212" s="12" t="s">
        <v>54</v>
      </c>
      <c r="L212" s="12" t="s">
        <v>65</v>
      </c>
      <c r="M212" s="12" t="s">
        <v>96</v>
      </c>
      <c r="N212" s="12" t="s">
        <v>14</v>
      </c>
      <c r="O212" s="12" t="s">
        <v>5</v>
      </c>
      <c r="P212" s="12">
        <v>3</v>
      </c>
      <c r="Q212" s="12">
        <v>2</v>
      </c>
      <c r="R212" s="12" t="s">
        <v>13</v>
      </c>
      <c r="S212" s="14">
        <v>0.559027777777778</v>
      </c>
      <c r="T212" s="12" t="s">
        <v>67</v>
      </c>
      <c r="U212" s="12">
        <v>16038</v>
      </c>
    </row>
    <row r="213" spans="1:21">
      <c r="A213" s="13">
        <v>45901</v>
      </c>
      <c r="B213" s="12">
        <v>123740311</v>
      </c>
      <c r="C213" s="12">
        <v>2000</v>
      </c>
      <c r="D213" s="12" t="s">
        <v>94</v>
      </c>
      <c r="E213" s="12" t="s">
        <v>50</v>
      </c>
      <c r="F213" s="12" t="s">
        <v>62</v>
      </c>
      <c r="G213" s="12" t="s">
        <v>63</v>
      </c>
      <c r="H213" s="12" t="s">
        <v>58</v>
      </c>
      <c r="I213" s="12" t="s">
        <v>45</v>
      </c>
      <c r="J213" s="12">
        <v>1.177</v>
      </c>
      <c r="K213" s="12" t="s">
        <v>64</v>
      </c>
      <c r="L213" s="12" t="s">
        <v>84</v>
      </c>
      <c r="M213" s="12" t="s">
        <v>89</v>
      </c>
      <c r="N213" s="12" t="s">
        <v>14</v>
      </c>
      <c r="O213" s="12" t="s">
        <v>5</v>
      </c>
      <c r="P213" s="12">
        <v>5</v>
      </c>
      <c r="Q213" s="12">
        <v>3</v>
      </c>
      <c r="R213" s="12" t="s">
        <v>11</v>
      </c>
      <c r="S213" s="12" t="s">
        <v>48</v>
      </c>
      <c r="T213" s="12" t="s">
        <v>48</v>
      </c>
      <c r="U213" s="12">
        <v>78660</v>
      </c>
    </row>
    <row r="214" spans="1:21">
      <c r="A214" s="13">
        <v>45931</v>
      </c>
      <c r="B214" s="12">
        <v>123851894</v>
      </c>
      <c r="C214" s="12">
        <v>1995</v>
      </c>
      <c r="D214" s="12" t="s">
        <v>32</v>
      </c>
      <c r="E214" s="12" t="s">
        <v>33</v>
      </c>
      <c r="F214" s="12" t="s">
        <v>62</v>
      </c>
      <c r="G214" s="12" t="s">
        <v>63</v>
      </c>
      <c r="H214" s="12" t="s">
        <v>58</v>
      </c>
      <c r="I214" s="12" t="s">
        <v>45</v>
      </c>
      <c r="J214" s="12">
        <v>0.871</v>
      </c>
      <c r="K214" s="12" t="s">
        <v>64</v>
      </c>
      <c r="L214" s="12" t="s">
        <v>39</v>
      </c>
      <c r="M214" s="12" t="s">
        <v>47</v>
      </c>
      <c r="N214" s="12" t="s">
        <v>14</v>
      </c>
      <c r="O214" s="12" t="s">
        <v>4</v>
      </c>
      <c r="P214" s="12">
        <v>1</v>
      </c>
      <c r="Q214" s="12">
        <v>1</v>
      </c>
      <c r="R214" s="12" t="s">
        <v>13</v>
      </c>
      <c r="S214" s="12" t="s">
        <v>48</v>
      </c>
      <c r="T214" s="12" t="s">
        <v>48</v>
      </c>
      <c r="U214" s="12">
        <v>4058</v>
      </c>
    </row>
    <row r="215" spans="1:21">
      <c r="A215" s="13">
        <v>45809</v>
      </c>
      <c r="B215" s="12">
        <v>123871573</v>
      </c>
      <c r="C215" s="12">
        <v>1983</v>
      </c>
      <c r="D215" s="12" t="s">
        <v>68</v>
      </c>
      <c r="E215" s="12" t="s">
        <v>33</v>
      </c>
      <c r="F215" s="12" t="s">
        <v>34</v>
      </c>
      <c r="G215" s="12" t="s">
        <v>35</v>
      </c>
      <c r="H215" s="12" t="s">
        <v>36</v>
      </c>
      <c r="I215" s="12" t="s">
        <v>45</v>
      </c>
      <c r="J215" s="12">
        <v>0.956</v>
      </c>
      <c r="K215" s="12" t="s">
        <v>38</v>
      </c>
      <c r="L215" s="12" t="s">
        <v>65</v>
      </c>
      <c r="M215" s="12" t="s">
        <v>66</v>
      </c>
      <c r="N215" s="12" t="s">
        <v>14</v>
      </c>
      <c r="O215" s="12" t="s">
        <v>5</v>
      </c>
      <c r="P215" s="12">
        <v>3</v>
      </c>
      <c r="Q215" s="12">
        <v>1</v>
      </c>
      <c r="R215" s="12" t="s">
        <v>11</v>
      </c>
      <c r="S215" s="14">
        <v>0.588888888888889</v>
      </c>
      <c r="T215" s="12" t="s">
        <v>67</v>
      </c>
      <c r="U215" s="12">
        <v>40109</v>
      </c>
    </row>
    <row r="216" spans="1:21">
      <c r="A216" s="13">
        <v>45901</v>
      </c>
      <c r="B216" s="12">
        <v>123956543</v>
      </c>
      <c r="C216" s="12">
        <v>1982</v>
      </c>
      <c r="D216" s="12" t="s">
        <v>49</v>
      </c>
      <c r="E216" s="12" t="s">
        <v>50</v>
      </c>
      <c r="F216" s="12" t="s">
        <v>56</v>
      </c>
      <c r="G216" s="12" t="s">
        <v>57</v>
      </c>
      <c r="H216" s="12" t="s">
        <v>58</v>
      </c>
      <c r="I216" s="12" t="s">
        <v>45</v>
      </c>
      <c r="J216" s="12">
        <v>1.294</v>
      </c>
      <c r="K216" s="12" t="s">
        <v>59</v>
      </c>
      <c r="L216" s="12" t="s">
        <v>84</v>
      </c>
      <c r="M216" s="12" t="s">
        <v>85</v>
      </c>
      <c r="N216" s="12" t="s">
        <v>14</v>
      </c>
      <c r="O216" s="12" t="s">
        <v>5</v>
      </c>
      <c r="P216" s="12">
        <v>5</v>
      </c>
      <c r="Q216" s="12">
        <v>3</v>
      </c>
      <c r="R216" s="12" t="s">
        <v>11</v>
      </c>
      <c r="S216" s="14">
        <v>0.616666666666667</v>
      </c>
      <c r="T216" s="12" t="s">
        <v>67</v>
      </c>
      <c r="U216" s="12">
        <v>112061</v>
      </c>
    </row>
    <row r="217" spans="1:21">
      <c r="A217" s="13">
        <v>45748</v>
      </c>
      <c r="B217" s="12">
        <v>123890788</v>
      </c>
      <c r="C217" s="12">
        <v>1966</v>
      </c>
      <c r="D217" s="12" t="s">
        <v>61</v>
      </c>
      <c r="E217" s="12" t="s">
        <v>33</v>
      </c>
      <c r="F217" s="12" t="s">
        <v>86</v>
      </c>
      <c r="G217" s="12" t="s">
        <v>87</v>
      </c>
      <c r="H217" s="12" t="s">
        <v>58</v>
      </c>
      <c r="I217" s="12" t="s">
        <v>45</v>
      </c>
      <c r="J217" s="12">
        <v>0.987</v>
      </c>
      <c r="K217" s="12" t="s">
        <v>88</v>
      </c>
      <c r="L217" s="12" t="s">
        <v>39</v>
      </c>
      <c r="M217" s="12" t="s">
        <v>47</v>
      </c>
      <c r="N217" s="12" t="s">
        <v>14</v>
      </c>
      <c r="O217" s="12" t="s">
        <v>5</v>
      </c>
      <c r="P217" s="12">
        <v>6</v>
      </c>
      <c r="Q217" s="12">
        <v>2</v>
      </c>
      <c r="R217" s="12" t="s">
        <v>11</v>
      </c>
      <c r="S217" s="14">
        <v>0.472222222222222</v>
      </c>
      <c r="T217" s="12" t="s">
        <v>41</v>
      </c>
      <c r="U217" s="12">
        <v>74214</v>
      </c>
    </row>
    <row r="218" spans="1:21">
      <c r="A218" s="13">
        <v>45658</v>
      </c>
      <c r="B218" s="12">
        <v>123737631</v>
      </c>
      <c r="C218" s="12">
        <v>1991</v>
      </c>
      <c r="D218" s="12" t="s">
        <v>61</v>
      </c>
      <c r="E218" s="12" t="s">
        <v>50</v>
      </c>
      <c r="F218" s="12" t="s">
        <v>75</v>
      </c>
      <c r="G218" s="12" t="s">
        <v>76</v>
      </c>
      <c r="H218" s="12" t="s">
        <v>53</v>
      </c>
      <c r="I218" s="12" t="s">
        <v>45</v>
      </c>
      <c r="J218" s="12">
        <v>1.096</v>
      </c>
      <c r="K218" s="12" t="s">
        <v>77</v>
      </c>
      <c r="L218" s="12" t="s">
        <v>39</v>
      </c>
      <c r="M218" s="12" t="s">
        <v>47</v>
      </c>
      <c r="N218" s="12" t="s">
        <v>14</v>
      </c>
      <c r="O218" s="12" t="s">
        <v>5</v>
      </c>
      <c r="P218" s="12">
        <v>3</v>
      </c>
      <c r="Q218" s="12">
        <v>2</v>
      </c>
      <c r="R218" s="12" t="s">
        <v>13</v>
      </c>
      <c r="S218" s="14">
        <v>0.35625</v>
      </c>
      <c r="T218" s="12" t="s">
        <v>41</v>
      </c>
      <c r="U218" s="12">
        <v>43086</v>
      </c>
    </row>
    <row r="219" spans="1:21">
      <c r="A219" s="13">
        <v>45689</v>
      </c>
      <c r="B219" s="12">
        <v>123723730</v>
      </c>
      <c r="C219" s="12">
        <v>1972</v>
      </c>
      <c r="D219" s="12" t="s">
        <v>49</v>
      </c>
      <c r="E219" s="12" t="s">
        <v>33</v>
      </c>
      <c r="F219" s="12" t="s">
        <v>51</v>
      </c>
      <c r="G219" s="12" t="s">
        <v>52</v>
      </c>
      <c r="H219" s="12" t="s">
        <v>53</v>
      </c>
      <c r="I219" s="12" t="s">
        <v>45</v>
      </c>
      <c r="J219" s="12">
        <v>0.922</v>
      </c>
      <c r="K219" s="12" t="s">
        <v>54</v>
      </c>
      <c r="L219" s="12" t="s">
        <v>84</v>
      </c>
      <c r="M219" s="12" t="s">
        <v>89</v>
      </c>
      <c r="N219" s="12" t="s">
        <v>14</v>
      </c>
      <c r="O219" s="12" t="s">
        <v>5</v>
      </c>
      <c r="P219" s="12">
        <v>4</v>
      </c>
      <c r="Q219" s="12">
        <v>1</v>
      </c>
      <c r="R219" s="12" t="s">
        <v>11</v>
      </c>
      <c r="S219" s="14">
        <v>0.3625</v>
      </c>
      <c r="T219" s="12" t="s">
        <v>41</v>
      </c>
      <c r="U219" s="12">
        <v>4470</v>
      </c>
    </row>
    <row r="220" spans="1:21">
      <c r="A220" s="13">
        <v>45809</v>
      </c>
      <c r="B220" s="12">
        <v>123584225</v>
      </c>
      <c r="C220" s="12">
        <v>1987</v>
      </c>
      <c r="D220" s="12" t="s">
        <v>49</v>
      </c>
      <c r="E220" s="12" t="s">
        <v>33</v>
      </c>
      <c r="F220" s="12" t="s">
        <v>34</v>
      </c>
      <c r="G220" s="12" t="s">
        <v>35</v>
      </c>
      <c r="H220" s="12" t="s">
        <v>36</v>
      </c>
      <c r="I220" s="12" t="s">
        <v>45</v>
      </c>
      <c r="J220" s="12">
        <v>0.994</v>
      </c>
      <c r="K220" s="12" t="s">
        <v>38</v>
      </c>
      <c r="L220" s="12" t="s">
        <v>39</v>
      </c>
      <c r="M220" s="12" t="s">
        <v>47</v>
      </c>
      <c r="N220" s="12" t="s">
        <v>14</v>
      </c>
      <c r="O220" s="12" t="s">
        <v>4</v>
      </c>
      <c r="P220" s="12">
        <v>1</v>
      </c>
      <c r="Q220" s="12">
        <v>1</v>
      </c>
      <c r="R220" s="12" t="s">
        <v>11</v>
      </c>
      <c r="S220" s="14">
        <v>0.426388888888889</v>
      </c>
      <c r="T220" s="12" t="s">
        <v>41</v>
      </c>
      <c r="U220" s="12">
        <v>3416</v>
      </c>
    </row>
    <row r="221" spans="1:21">
      <c r="A221" s="13">
        <v>45962</v>
      </c>
      <c r="B221" s="12">
        <v>123782178</v>
      </c>
      <c r="C221" s="12">
        <v>1985</v>
      </c>
      <c r="D221" s="12" t="s">
        <v>83</v>
      </c>
      <c r="E221" s="12" t="s">
        <v>33</v>
      </c>
      <c r="F221" s="12" t="s">
        <v>91</v>
      </c>
      <c r="G221" s="12" t="s">
        <v>92</v>
      </c>
      <c r="H221" s="12" t="s">
        <v>58</v>
      </c>
      <c r="I221" s="12" t="s">
        <v>45</v>
      </c>
      <c r="J221" s="12">
        <v>0.996</v>
      </c>
      <c r="K221" s="12" t="s">
        <v>93</v>
      </c>
      <c r="L221" s="12" t="s">
        <v>39</v>
      </c>
      <c r="M221" s="12" t="s">
        <v>47</v>
      </c>
      <c r="N221" s="12" t="s">
        <v>14</v>
      </c>
      <c r="O221" s="12" t="s">
        <v>6</v>
      </c>
      <c r="P221" s="12">
        <v>0</v>
      </c>
      <c r="Q221" s="12">
        <v>2</v>
      </c>
      <c r="R221" s="12" t="s">
        <v>13</v>
      </c>
      <c r="S221" s="14">
        <v>0.453472222222222</v>
      </c>
      <c r="T221" s="12" t="s">
        <v>41</v>
      </c>
      <c r="U221" s="12">
        <v>733</v>
      </c>
    </row>
    <row r="222" spans="1:21">
      <c r="A222" s="13">
        <v>45689</v>
      </c>
      <c r="B222" s="12">
        <v>123531689</v>
      </c>
      <c r="C222" s="12">
        <v>2004</v>
      </c>
      <c r="D222" s="12" t="s">
        <v>83</v>
      </c>
      <c r="E222" s="12" t="s">
        <v>50</v>
      </c>
      <c r="F222" s="12" t="s">
        <v>75</v>
      </c>
      <c r="G222" s="12" t="s">
        <v>76</v>
      </c>
      <c r="H222" s="12" t="s">
        <v>53</v>
      </c>
      <c r="I222" s="12" t="s">
        <v>45</v>
      </c>
      <c r="J222" s="12">
        <v>1.071</v>
      </c>
      <c r="K222" s="12" t="s">
        <v>77</v>
      </c>
      <c r="L222" s="12" t="s">
        <v>39</v>
      </c>
      <c r="M222" s="12" t="s">
        <v>78</v>
      </c>
      <c r="N222" s="12" t="s">
        <v>14</v>
      </c>
      <c r="O222" s="12" t="s">
        <v>5</v>
      </c>
      <c r="P222" s="12">
        <v>4</v>
      </c>
      <c r="Q222" s="12">
        <v>3</v>
      </c>
      <c r="R222" s="12" t="s">
        <v>11</v>
      </c>
      <c r="S222" s="12" t="s">
        <v>48</v>
      </c>
      <c r="T222" s="12" t="s">
        <v>48</v>
      </c>
      <c r="U222" s="12">
        <v>64342</v>
      </c>
    </row>
    <row r="223" spans="1:21">
      <c r="A223" s="13">
        <v>45809</v>
      </c>
      <c r="B223" s="12">
        <v>123962591</v>
      </c>
      <c r="C223" s="12">
        <v>1984</v>
      </c>
      <c r="D223" s="12" t="s">
        <v>94</v>
      </c>
      <c r="E223" s="12" t="s">
        <v>50</v>
      </c>
      <c r="F223" s="12" t="s">
        <v>56</v>
      </c>
      <c r="G223" s="12" t="s">
        <v>57</v>
      </c>
      <c r="H223" s="12" t="s">
        <v>58</v>
      </c>
      <c r="I223" s="12" t="s">
        <v>37</v>
      </c>
      <c r="J223" s="12">
        <v>1.045</v>
      </c>
      <c r="K223" s="12" t="s">
        <v>59</v>
      </c>
      <c r="L223" s="12" t="s">
        <v>39</v>
      </c>
      <c r="M223" s="12" t="s">
        <v>47</v>
      </c>
      <c r="N223" s="12" t="s">
        <v>14</v>
      </c>
      <c r="O223" s="12" t="s">
        <v>6</v>
      </c>
      <c r="P223" s="12">
        <v>0</v>
      </c>
      <c r="Q223" s="12">
        <v>1</v>
      </c>
      <c r="R223" s="12" t="s">
        <v>11</v>
      </c>
      <c r="S223" s="12" t="s">
        <v>48</v>
      </c>
      <c r="T223" s="12" t="s">
        <v>48</v>
      </c>
      <c r="U223" s="12">
        <v>1180</v>
      </c>
    </row>
    <row r="224" spans="1:21">
      <c r="A224" s="13">
        <v>45901</v>
      </c>
      <c r="B224" s="12">
        <v>123915703</v>
      </c>
      <c r="C224" s="12">
        <v>1957</v>
      </c>
      <c r="D224" s="12" t="s">
        <v>42</v>
      </c>
      <c r="E224" s="12" t="s">
        <v>33</v>
      </c>
      <c r="F224" s="12" t="s">
        <v>80</v>
      </c>
      <c r="G224" s="12" t="s">
        <v>81</v>
      </c>
      <c r="H224" s="12" t="s">
        <v>36</v>
      </c>
      <c r="I224" s="12" t="s">
        <v>45</v>
      </c>
      <c r="J224" s="12">
        <v>0.98</v>
      </c>
      <c r="K224" s="12" t="s">
        <v>82</v>
      </c>
      <c r="L224" s="12" t="s">
        <v>72</v>
      </c>
      <c r="M224" s="12" t="s">
        <v>95</v>
      </c>
      <c r="N224" s="12" t="s">
        <v>14</v>
      </c>
      <c r="O224" s="12" t="s">
        <v>5</v>
      </c>
      <c r="P224" s="12">
        <v>4</v>
      </c>
      <c r="Q224" s="12">
        <v>2</v>
      </c>
      <c r="R224" s="12" t="s">
        <v>11</v>
      </c>
      <c r="S224" s="14">
        <v>0.59375</v>
      </c>
      <c r="T224" s="12" t="s">
        <v>67</v>
      </c>
      <c r="U224" s="12">
        <v>89005</v>
      </c>
    </row>
    <row r="225" spans="1:21">
      <c r="A225" s="13">
        <v>45717</v>
      </c>
      <c r="B225" s="12">
        <v>123521134</v>
      </c>
      <c r="C225" s="12">
        <v>1990</v>
      </c>
      <c r="D225" s="12" t="s">
        <v>74</v>
      </c>
      <c r="E225" s="12" t="s">
        <v>50</v>
      </c>
      <c r="F225" s="12" t="s">
        <v>80</v>
      </c>
      <c r="G225" s="12" t="s">
        <v>81</v>
      </c>
      <c r="H225" s="12" t="s">
        <v>36</v>
      </c>
      <c r="I225" s="12" t="s">
        <v>45</v>
      </c>
      <c r="J225" s="12">
        <v>1.079</v>
      </c>
      <c r="K225" s="12" t="s">
        <v>82</v>
      </c>
      <c r="L225" s="12" t="s">
        <v>84</v>
      </c>
      <c r="M225" s="12" t="s">
        <v>89</v>
      </c>
      <c r="N225" s="12" t="s">
        <v>14</v>
      </c>
      <c r="O225" s="12" t="s">
        <v>6</v>
      </c>
      <c r="P225" s="12">
        <v>0</v>
      </c>
      <c r="Q225" s="12">
        <v>2</v>
      </c>
      <c r="R225" s="12" t="s">
        <v>11</v>
      </c>
      <c r="S225" s="14">
        <v>0.857638888888889</v>
      </c>
      <c r="T225" s="12" t="s">
        <v>67</v>
      </c>
      <c r="U225" s="12">
        <v>957</v>
      </c>
    </row>
    <row r="226" spans="1:21">
      <c r="A226" s="13">
        <v>45901</v>
      </c>
      <c r="B226" s="12">
        <v>123883559</v>
      </c>
      <c r="C226" s="12">
        <v>1974</v>
      </c>
      <c r="D226" s="12" t="s">
        <v>32</v>
      </c>
      <c r="E226" s="12" t="s">
        <v>50</v>
      </c>
      <c r="F226" s="12" t="s">
        <v>86</v>
      </c>
      <c r="G226" s="12" t="s">
        <v>87</v>
      </c>
      <c r="H226" s="12" t="s">
        <v>58</v>
      </c>
      <c r="I226" s="12" t="s">
        <v>45</v>
      </c>
      <c r="J226" s="12">
        <v>1.162</v>
      </c>
      <c r="K226" s="12" t="s">
        <v>88</v>
      </c>
      <c r="L226" s="12" t="s">
        <v>39</v>
      </c>
      <c r="M226" s="12" t="s">
        <v>78</v>
      </c>
      <c r="N226" s="12" t="s">
        <v>14</v>
      </c>
      <c r="O226" s="12" t="s">
        <v>5</v>
      </c>
      <c r="P226" s="12">
        <v>3</v>
      </c>
      <c r="Q226" s="12">
        <v>1</v>
      </c>
      <c r="R226" s="12" t="s">
        <v>13</v>
      </c>
      <c r="S226" s="14">
        <v>0.321527777777778</v>
      </c>
      <c r="T226" s="12" t="s">
        <v>41</v>
      </c>
      <c r="U226" s="12">
        <v>53133</v>
      </c>
    </row>
    <row r="227" spans="1:21">
      <c r="A227" s="13">
        <v>45748</v>
      </c>
      <c r="B227" s="12">
        <v>123519704</v>
      </c>
      <c r="C227" s="12">
        <v>1970</v>
      </c>
      <c r="D227" s="12" t="s">
        <v>83</v>
      </c>
      <c r="E227" s="12" t="s">
        <v>50</v>
      </c>
      <c r="F227" s="12" t="s">
        <v>43</v>
      </c>
      <c r="G227" s="12" t="s">
        <v>44</v>
      </c>
      <c r="H227" s="12" t="s">
        <v>36</v>
      </c>
      <c r="I227" s="12" t="s">
        <v>37</v>
      </c>
      <c r="J227" s="12">
        <v>1.115</v>
      </c>
      <c r="K227" s="12" t="s">
        <v>46</v>
      </c>
      <c r="L227" s="12" t="s">
        <v>84</v>
      </c>
      <c r="M227" s="12" t="s">
        <v>89</v>
      </c>
      <c r="N227" s="12" t="s">
        <v>14</v>
      </c>
      <c r="O227" s="12" t="s">
        <v>5</v>
      </c>
      <c r="P227" s="12">
        <v>2</v>
      </c>
      <c r="Q227" s="12">
        <v>1</v>
      </c>
      <c r="R227" s="12" t="s">
        <v>11</v>
      </c>
      <c r="S227" s="14">
        <v>0.393055555555556</v>
      </c>
      <c r="T227" s="12" t="s">
        <v>41</v>
      </c>
      <c r="U227" s="12">
        <v>7372</v>
      </c>
    </row>
    <row r="228" spans="1:21">
      <c r="A228" s="13">
        <v>45931</v>
      </c>
      <c r="B228" s="12">
        <v>123848345</v>
      </c>
      <c r="C228" s="12">
        <v>1958</v>
      </c>
      <c r="D228" s="12" t="s">
        <v>79</v>
      </c>
      <c r="E228" s="12" t="s">
        <v>50</v>
      </c>
      <c r="F228" s="12" t="s">
        <v>56</v>
      </c>
      <c r="G228" s="12" t="s">
        <v>57</v>
      </c>
      <c r="H228" s="12" t="s">
        <v>58</v>
      </c>
      <c r="I228" s="12" t="s">
        <v>45</v>
      </c>
      <c r="J228" s="12">
        <v>0.974</v>
      </c>
      <c r="K228" s="12" t="s">
        <v>59</v>
      </c>
      <c r="L228" s="12" t="s">
        <v>39</v>
      </c>
      <c r="M228" s="12" t="s">
        <v>78</v>
      </c>
      <c r="N228" s="12" t="s">
        <v>14</v>
      </c>
      <c r="O228" s="12" t="s">
        <v>4</v>
      </c>
      <c r="P228" s="12">
        <v>1</v>
      </c>
      <c r="Q228" s="12">
        <v>1</v>
      </c>
      <c r="R228" s="12" t="s">
        <v>11</v>
      </c>
      <c r="S228" s="12" t="s">
        <v>48</v>
      </c>
      <c r="T228" s="12" t="s">
        <v>48</v>
      </c>
      <c r="U228" s="12">
        <v>4459</v>
      </c>
    </row>
    <row r="229" spans="1:21">
      <c r="A229" s="13">
        <v>45839</v>
      </c>
      <c r="B229" s="12">
        <v>123503713</v>
      </c>
      <c r="C229" s="12">
        <v>1956</v>
      </c>
      <c r="D229" s="12" t="s">
        <v>61</v>
      </c>
      <c r="E229" s="12" t="s">
        <v>33</v>
      </c>
      <c r="F229" s="12" t="s">
        <v>34</v>
      </c>
      <c r="G229" s="12" t="s">
        <v>35</v>
      </c>
      <c r="H229" s="12" t="s">
        <v>36</v>
      </c>
      <c r="I229" s="12" t="s">
        <v>45</v>
      </c>
      <c r="J229" s="12">
        <v>1.394</v>
      </c>
      <c r="K229" s="12" t="s">
        <v>38</v>
      </c>
      <c r="L229" s="12" t="s">
        <v>39</v>
      </c>
      <c r="M229" s="12" t="s">
        <v>78</v>
      </c>
      <c r="N229" s="12" t="s">
        <v>14</v>
      </c>
      <c r="O229" s="12" t="s">
        <v>6</v>
      </c>
      <c r="P229" s="12">
        <v>0</v>
      </c>
      <c r="Q229" s="12">
        <v>2</v>
      </c>
      <c r="R229" s="12" t="s">
        <v>13</v>
      </c>
      <c r="S229" s="12" t="s">
        <v>48</v>
      </c>
      <c r="T229" s="12" t="s">
        <v>48</v>
      </c>
      <c r="U229" s="12">
        <v>710</v>
      </c>
    </row>
    <row r="230" spans="1:21">
      <c r="A230" s="13">
        <v>45839</v>
      </c>
      <c r="B230" s="12">
        <v>123721576</v>
      </c>
      <c r="C230" s="12">
        <v>1987</v>
      </c>
      <c r="D230" s="12" t="s">
        <v>61</v>
      </c>
      <c r="E230" s="12" t="s">
        <v>50</v>
      </c>
      <c r="F230" s="12" t="s">
        <v>80</v>
      </c>
      <c r="G230" s="12" t="s">
        <v>81</v>
      </c>
      <c r="H230" s="12" t="s">
        <v>36</v>
      </c>
      <c r="I230" s="12" t="s">
        <v>45</v>
      </c>
      <c r="J230" s="12">
        <v>1.155</v>
      </c>
      <c r="K230" s="12" t="s">
        <v>82</v>
      </c>
      <c r="L230" s="12" t="s">
        <v>39</v>
      </c>
      <c r="M230" s="12" t="s">
        <v>47</v>
      </c>
      <c r="N230" s="12" t="s">
        <v>14</v>
      </c>
      <c r="O230" s="12" t="s">
        <v>5</v>
      </c>
      <c r="P230" s="12">
        <v>4</v>
      </c>
      <c r="Q230" s="12">
        <v>2</v>
      </c>
      <c r="R230" s="12" t="s">
        <v>11</v>
      </c>
      <c r="S230" s="14">
        <v>0.477083333333333</v>
      </c>
      <c r="T230" s="12" t="s">
        <v>41</v>
      </c>
      <c r="U230" s="12">
        <v>110590</v>
      </c>
    </row>
    <row r="231" spans="1:21">
      <c r="A231" s="13">
        <v>45717</v>
      </c>
      <c r="B231" s="12">
        <v>123813876</v>
      </c>
      <c r="C231" s="12">
        <v>2005</v>
      </c>
      <c r="D231" s="12" t="s">
        <v>55</v>
      </c>
      <c r="E231" s="12" t="s">
        <v>50</v>
      </c>
      <c r="F231" s="12" t="s">
        <v>69</v>
      </c>
      <c r="G231" s="12" t="s">
        <v>70</v>
      </c>
      <c r="H231" s="12" t="s">
        <v>58</v>
      </c>
      <c r="I231" s="12" t="s">
        <v>45</v>
      </c>
      <c r="J231" s="12">
        <v>1.152</v>
      </c>
      <c r="K231" s="12" t="s">
        <v>71</v>
      </c>
      <c r="L231" s="12" t="s">
        <v>65</v>
      </c>
      <c r="M231" s="12" t="s">
        <v>66</v>
      </c>
      <c r="N231" s="12" t="s">
        <v>14</v>
      </c>
      <c r="O231" s="12" t="s">
        <v>5</v>
      </c>
      <c r="P231" s="12">
        <v>4</v>
      </c>
      <c r="Q231" s="12">
        <v>2</v>
      </c>
      <c r="R231" s="12" t="s">
        <v>13</v>
      </c>
      <c r="S231" s="14">
        <v>0.452083333333333</v>
      </c>
      <c r="T231" s="12" t="s">
        <v>41</v>
      </c>
      <c r="U231" s="12">
        <v>100152</v>
      </c>
    </row>
    <row r="232" spans="1:21">
      <c r="A232" s="13">
        <v>45809</v>
      </c>
      <c r="B232" s="12">
        <v>123852472</v>
      </c>
      <c r="C232" s="12">
        <v>1996</v>
      </c>
      <c r="D232" s="12" t="s">
        <v>83</v>
      </c>
      <c r="E232" s="12" t="s">
        <v>33</v>
      </c>
      <c r="F232" s="12" t="s">
        <v>34</v>
      </c>
      <c r="G232" s="12" t="s">
        <v>35</v>
      </c>
      <c r="H232" s="12" t="s">
        <v>36</v>
      </c>
      <c r="I232" s="12" t="s">
        <v>45</v>
      </c>
      <c r="J232" s="12">
        <v>0.942</v>
      </c>
      <c r="K232" s="12" t="s">
        <v>38</v>
      </c>
      <c r="L232" s="12" t="s">
        <v>99</v>
      </c>
      <c r="M232" s="12" t="s">
        <v>48</v>
      </c>
      <c r="N232" s="12" t="s">
        <v>12</v>
      </c>
      <c r="O232" s="12" t="s">
        <v>4</v>
      </c>
      <c r="P232" s="12">
        <v>1</v>
      </c>
      <c r="Q232" s="12">
        <v>1</v>
      </c>
      <c r="R232" s="12" t="s">
        <v>13</v>
      </c>
      <c r="S232" s="14">
        <v>0.716666666666667</v>
      </c>
      <c r="T232" s="12" t="s">
        <v>67</v>
      </c>
      <c r="U232" s="12">
        <v>3793</v>
      </c>
    </row>
    <row r="233" spans="1:21">
      <c r="A233" s="13">
        <v>45962</v>
      </c>
      <c r="B233" s="12">
        <v>123683722</v>
      </c>
      <c r="C233" s="12">
        <v>1968</v>
      </c>
      <c r="D233" s="12" t="s">
        <v>55</v>
      </c>
      <c r="E233" s="12" t="s">
        <v>50</v>
      </c>
      <c r="F233" s="12" t="s">
        <v>62</v>
      </c>
      <c r="G233" s="12" t="s">
        <v>63</v>
      </c>
      <c r="H233" s="12" t="s">
        <v>58</v>
      </c>
      <c r="I233" s="12" t="s">
        <v>45</v>
      </c>
      <c r="J233" s="12">
        <v>0.99</v>
      </c>
      <c r="K233" s="12" t="s">
        <v>64</v>
      </c>
      <c r="L233" s="12" t="s">
        <v>72</v>
      </c>
      <c r="M233" s="12" t="s">
        <v>95</v>
      </c>
      <c r="N233" s="12" t="s">
        <v>14</v>
      </c>
      <c r="O233" s="12" t="s">
        <v>4</v>
      </c>
      <c r="P233" s="12">
        <v>1</v>
      </c>
      <c r="Q233" s="12">
        <v>2</v>
      </c>
      <c r="R233" s="12" t="s">
        <v>11</v>
      </c>
      <c r="S233" s="14">
        <v>0.410416666666667</v>
      </c>
      <c r="T233" s="12" t="s">
        <v>41</v>
      </c>
      <c r="U233" s="12">
        <v>6436</v>
      </c>
    </row>
    <row r="234" spans="1:21">
      <c r="A234" s="13">
        <v>45658</v>
      </c>
      <c r="B234" s="12">
        <v>123957362</v>
      </c>
      <c r="C234" s="12">
        <v>1978</v>
      </c>
      <c r="D234" s="12" t="s">
        <v>61</v>
      </c>
      <c r="E234" s="12" t="s">
        <v>33</v>
      </c>
      <c r="F234" s="12" t="s">
        <v>91</v>
      </c>
      <c r="G234" s="12" t="s">
        <v>92</v>
      </c>
      <c r="H234" s="12" t="s">
        <v>58</v>
      </c>
      <c r="I234" s="12" t="s">
        <v>45</v>
      </c>
      <c r="J234" s="12">
        <v>1.213</v>
      </c>
      <c r="K234" s="12" t="s">
        <v>93</v>
      </c>
      <c r="L234" s="12" t="s">
        <v>39</v>
      </c>
      <c r="M234" s="12" t="s">
        <v>40</v>
      </c>
      <c r="N234" s="12" t="s">
        <v>14</v>
      </c>
      <c r="O234" s="12" t="s">
        <v>6</v>
      </c>
      <c r="P234" s="12">
        <v>0</v>
      </c>
      <c r="Q234" s="12">
        <v>2</v>
      </c>
      <c r="R234" s="12" t="s">
        <v>13</v>
      </c>
      <c r="S234" s="12" t="s">
        <v>48</v>
      </c>
      <c r="T234" s="12" t="s">
        <v>48</v>
      </c>
      <c r="U234" s="12">
        <v>1057</v>
      </c>
    </row>
    <row r="235" spans="1:21">
      <c r="A235" s="13">
        <v>45931</v>
      </c>
      <c r="B235" s="12">
        <v>123877230</v>
      </c>
      <c r="C235" s="12">
        <v>1983</v>
      </c>
      <c r="D235" s="12" t="s">
        <v>49</v>
      </c>
      <c r="E235" s="12" t="s">
        <v>50</v>
      </c>
      <c r="F235" s="12" t="s">
        <v>62</v>
      </c>
      <c r="G235" s="12" t="s">
        <v>63</v>
      </c>
      <c r="H235" s="12" t="s">
        <v>58</v>
      </c>
      <c r="I235" s="12" t="s">
        <v>45</v>
      </c>
      <c r="J235" s="12">
        <v>1.171</v>
      </c>
      <c r="K235" s="12" t="s">
        <v>64</v>
      </c>
      <c r="L235" s="12" t="s">
        <v>39</v>
      </c>
      <c r="M235" s="12" t="s">
        <v>47</v>
      </c>
      <c r="N235" s="12" t="s">
        <v>14</v>
      </c>
      <c r="O235" s="12" t="s">
        <v>6</v>
      </c>
      <c r="P235" s="12">
        <v>0</v>
      </c>
      <c r="Q235" s="12">
        <v>2</v>
      </c>
      <c r="R235" s="12" t="s">
        <v>11</v>
      </c>
      <c r="S235" s="14">
        <v>0.525694444444444</v>
      </c>
      <c r="T235" s="12" t="s">
        <v>67</v>
      </c>
      <c r="U235" s="12">
        <v>636</v>
      </c>
    </row>
    <row r="236" spans="1:21">
      <c r="A236" s="13">
        <v>45809</v>
      </c>
      <c r="B236" s="12">
        <v>123569295</v>
      </c>
      <c r="C236" s="12">
        <v>1966</v>
      </c>
      <c r="D236" s="12" t="s">
        <v>79</v>
      </c>
      <c r="E236" s="12" t="s">
        <v>33</v>
      </c>
      <c r="F236" s="12" t="s">
        <v>62</v>
      </c>
      <c r="G236" s="12" t="s">
        <v>63</v>
      </c>
      <c r="H236" s="12" t="s">
        <v>58</v>
      </c>
      <c r="I236" s="12" t="s">
        <v>45</v>
      </c>
      <c r="J236" s="12">
        <v>1.218</v>
      </c>
      <c r="K236" s="12" t="s">
        <v>64</v>
      </c>
      <c r="L236" s="12" t="s">
        <v>39</v>
      </c>
      <c r="M236" s="12" t="s">
        <v>47</v>
      </c>
      <c r="N236" s="12" t="s">
        <v>14</v>
      </c>
      <c r="O236" s="12" t="s">
        <v>6</v>
      </c>
      <c r="P236" s="12">
        <v>0</v>
      </c>
      <c r="Q236" s="12">
        <v>2</v>
      </c>
      <c r="R236" s="12" t="s">
        <v>13</v>
      </c>
      <c r="S236" s="14">
        <v>0.731944444444444</v>
      </c>
      <c r="T236" s="12" t="s">
        <v>67</v>
      </c>
      <c r="U236" s="12">
        <v>934</v>
      </c>
    </row>
    <row r="237" spans="1:21">
      <c r="A237" s="13">
        <v>45901</v>
      </c>
      <c r="B237" s="12">
        <v>123821149</v>
      </c>
      <c r="C237" s="12">
        <v>2000</v>
      </c>
      <c r="D237" s="12" t="s">
        <v>32</v>
      </c>
      <c r="E237" s="12" t="s">
        <v>33</v>
      </c>
      <c r="F237" s="12" t="s">
        <v>80</v>
      </c>
      <c r="G237" s="12" t="s">
        <v>81</v>
      </c>
      <c r="H237" s="12" t="s">
        <v>36</v>
      </c>
      <c r="I237" s="12" t="s">
        <v>45</v>
      </c>
      <c r="J237" s="12">
        <v>1.039</v>
      </c>
      <c r="K237" s="12" t="s">
        <v>82</v>
      </c>
      <c r="L237" s="12" t="s">
        <v>65</v>
      </c>
      <c r="M237" s="12" t="s">
        <v>66</v>
      </c>
      <c r="N237" s="12" t="s">
        <v>14</v>
      </c>
      <c r="O237" s="12" t="s">
        <v>4</v>
      </c>
      <c r="P237" s="12">
        <v>1</v>
      </c>
      <c r="Q237" s="12">
        <v>1</v>
      </c>
      <c r="R237" s="12" t="s">
        <v>11</v>
      </c>
      <c r="S237" s="14">
        <v>0.888194444444444</v>
      </c>
      <c r="T237" s="12" t="s">
        <v>67</v>
      </c>
      <c r="U237" s="12">
        <v>8024</v>
      </c>
    </row>
    <row r="238" spans="1:21">
      <c r="A238" s="13">
        <v>45870</v>
      </c>
      <c r="B238" s="12">
        <v>123853410</v>
      </c>
      <c r="C238" s="12">
        <v>1969</v>
      </c>
      <c r="D238" s="12" t="s">
        <v>61</v>
      </c>
      <c r="E238" s="12" t="s">
        <v>33</v>
      </c>
      <c r="F238" s="12" t="s">
        <v>86</v>
      </c>
      <c r="G238" s="12" t="s">
        <v>87</v>
      </c>
      <c r="H238" s="12" t="s">
        <v>58</v>
      </c>
      <c r="I238" s="12" t="s">
        <v>37</v>
      </c>
      <c r="J238" s="12">
        <v>0.944</v>
      </c>
      <c r="K238" s="12" t="s">
        <v>88</v>
      </c>
      <c r="L238" s="12" t="s">
        <v>39</v>
      </c>
      <c r="M238" s="12" t="s">
        <v>78</v>
      </c>
      <c r="N238" s="12" t="s">
        <v>14</v>
      </c>
      <c r="O238" s="12" t="s">
        <v>6</v>
      </c>
      <c r="P238" s="12">
        <v>0</v>
      </c>
      <c r="Q238" s="12">
        <v>2</v>
      </c>
      <c r="R238" s="12" t="s">
        <v>13</v>
      </c>
      <c r="S238" s="14">
        <v>0.459722222222222</v>
      </c>
      <c r="T238" s="12" t="s">
        <v>41</v>
      </c>
      <c r="U238" s="12">
        <v>1744</v>
      </c>
    </row>
    <row r="239" spans="1:21">
      <c r="A239" s="13">
        <v>45809</v>
      </c>
      <c r="B239" s="12">
        <v>123637498</v>
      </c>
      <c r="C239" s="12">
        <v>1987</v>
      </c>
      <c r="D239" s="12" t="s">
        <v>83</v>
      </c>
      <c r="E239" s="12" t="s">
        <v>50</v>
      </c>
      <c r="F239" s="12" t="s">
        <v>75</v>
      </c>
      <c r="G239" s="12" t="s">
        <v>76</v>
      </c>
      <c r="H239" s="12" t="s">
        <v>53</v>
      </c>
      <c r="I239" s="12" t="s">
        <v>45</v>
      </c>
      <c r="J239" s="12">
        <v>1.099</v>
      </c>
      <c r="K239" s="12" t="s">
        <v>77</v>
      </c>
      <c r="L239" s="12" t="s">
        <v>99</v>
      </c>
      <c r="M239" s="12" t="s">
        <v>48</v>
      </c>
      <c r="N239" s="12" t="s">
        <v>12</v>
      </c>
      <c r="O239" s="12" t="s">
        <v>5</v>
      </c>
      <c r="P239" s="12">
        <v>4</v>
      </c>
      <c r="Q239" s="12">
        <v>2</v>
      </c>
      <c r="R239" s="12" t="s">
        <v>11</v>
      </c>
      <c r="S239" s="14">
        <v>0.311805555555556</v>
      </c>
      <c r="T239" s="12" t="s">
        <v>41</v>
      </c>
      <c r="U239" s="12">
        <v>6629</v>
      </c>
    </row>
    <row r="240" spans="1:21">
      <c r="A240" s="13">
        <v>45748</v>
      </c>
      <c r="B240" s="12">
        <v>123857597</v>
      </c>
      <c r="C240" s="12">
        <v>1992</v>
      </c>
      <c r="D240" s="12" t="s">
        <v>83</v>
      </c>
      <c r="E240" s="12" t="s">
        <v>50</v>
      </c>
      <c r="F240" s="12" t="s">
        <v>43</v>
      </c>
      <c r="G240" s="12" t="s">
        <v>44</v>
      </c>
      <c r="H240" s="12" t="s">
        <v>36</v>
      </c>
      <c r="I240" s="12" t="s">
        <v>45</v>
      </c>
      <c r="J240" s="12">
        <v>0.996</v>
      </c>
      <c r="K240" s="12" t="s">
        <v>46</v>
      </c>
      <c r="L240" s="12" t="s">
        <v>84</v>
      </c>
      <c r="M240" s="12" t="s">
        <v>85</v>
      </c>
      <c r="N240" s="12" t="s">
        <v>14</v>
      </c>
      <c r="O240" s="12" t="s">
        <v>5</v>
      </c>
      <c r="P240" s="12">
        <v>3</v>
      </c>
      <c r="Q240" s="12">
        <v>2</v>
      </c>
      <c r="R240" s="12" t="s">
        <v>13</v>
      </c>
      <c r="S240" s="14">
        <v>0.713888888888889</v>
      </c>
      <c r="T240" s="12" t="s">
        <v>67</v>
      </c>
      <c r="U240" s="12">
        <v>83100</v>
      </c>
    </row>
    <row r="241" spans="1:21">
      <c r="A241" s="13">
        <v>45870</v>
      </c>
      <c r="B241" s="12">
        <v>123944710</v>
      </c>
      <c r="C241" s="12">
        <v>2003</v>
      </c>
      <c r="D241" s="12" t="s">
        <v>98</v>
      </c>
      <c r="E241" s="12" t="s">
        <v>33</v>
      </c>
      <c r="F241" s="12" t="s">
        <v>91</v>
      </c>
      <c r="G241" s="12" t="s">
        <v>92</v>
      </c>
      <c r="H241" s="12" t="s">
        <v>58</v>
      </c>
      <c r="I241" s="12" t="s">
        <v>45</v>
      </c>
      <c r="J241" s="12">
        <v>0.811</v>
      </c>
      <c r="K241" s="12" t="s">
        <v>93</v>
      </c>
      <c r="L241" s="12" t="s">
        <v>72</v>
      </c>
      <c r="M241" s="12" t="s">
        <v>95</v>
      </c>
      <c r="N241" s="12" t="s">
        <v>14</v>
      </c>
      <c r="O241" s="12" t="s">
        <v>6</v>
      </c>
      <c r="P241" s="12">
        <v>0</v>
      </c>
      <c r="Q241" s="12">
        <v>1</v>
      </c>
      <c r="R241" s="12" t="s">
        <v>11</v>
      </c>
      <c r="S241" s="12" t="s">
        <v>48</v>
      </c>
      <c r="T241" s="12" t="s">
        <v>48</v>
      </c>
      <c r="U241" s="12">
        <v>770</v>
      </c>
    </row>
    <row r="242" spans="1:21">
      <c r="A242" s="13">
        <v>45689</v>
      </c>
      <c r="B242" s="12">
        <v>123900509</v>
      </c>
      <c r="C242" s="12">
        <v>1959</v>
      </c>
      <c r="D242" s="12" t="s">
        <v>83</v>
      </c>
      <c r="E242" s="12" t="s">
        <v>50</v>
      </c>
      <c r="F242" s="12" t="s">
        <v>34</v>
      </c>
      <c r="G242" s="12" t="s">
        <v>35</v>
      </c>
      <c r="H242" s="12" t="s">
        <v>36</v>
      </c>
      <c r="I242" s="12" t="s">
        <v>37</v>
      </c>
      <c r="J242" s="12">
        <v>1.094</v>
      </c>
      <c r="K242" s="12" t="s">
        <v>38</v>
      </c>
      <c r="L242" s="12" t="s">
        <v>65</v>
      </c>
      <c r="M242" s="12" t="s">
        <v>66</v>
      </c>
      <c r="N242" s="12" t="s">
        <v>14</v>
      </c>
      <c r="O242" s="12" t="s">
        <v>6</v>
      </c>
      <c r="P242" s="12">
        <v>0</v>
      </c>
      <c r="Q242" s="12">
        <v>2</v>
      </c>
      <c r="R242" s="12" t="s">
        <v>13</v>
      </c>
      <c r="S242" s="14">
        <v>0.706944444444444</v>
      </c>
      <c r="T242" s="12" t="s">
        <v>67</v>
      </c>
      <c r="U242" s="12">
        <v>2078</v>
      </c>
    </row>
    <row r="243" spans="1:21">
      <c r="A243" s="13">
        <v>45870</v>
      </c>
      <c r="B243" s="12">
        <v>123870816</v>
      </c>
      <c r="C243" s="12">
        <v>1957</v>
      </c>
      <c r="D243" s="12" t="s">
        <v>61</v>
      </c>
      <c r="E243" s="12" t="s">
        <v>50</v>
      </c>
      <c r="F243" s="12" t="s">
        <v>56</v>
      </c>
      <c r="G243" s="12" t="s">
        <v>57</v>
      </c>
      <c r="H243" s="12" t="s">
        <v>58</v>
      </c>
      <c r="I243" s="12" t="s">
        <v>45</v>
      </c>
      <c r="J243" s="12">
        <v>1.122</v>
      </c>
      <c r="K243" s="12" t="s">
        <v>59</v>
      </c>
      <c r="L243" s="12" t="s">
        <v>39</v>
      </c>
      <c r="M243" s="12" t="s">
        <v>40</v>
      </c>
      <c r="N243" s="12" t="s">
        <v>14</v>
      </c>
      <c r="O243" s="12" t="s">
        <v>6</v>
      </c>
      <c r="P243" s="12">
        <v>0</v>
      </c>
      <c r="Q243" s="12">
        <v>2</v>
      </c>
      <c r="R243" s="12" t="s">
        <v>13</v>
      </c>
      <c r="S243" s="14">
        <v>0.679166666666667</v>
      </c>
      <c r="T243" s="12" t="s">
        <v>67</v>
      </c>
      <c r="U243" s="12">
        <v>1821</v>
      </c>
    </row>
    <row r="244" spans="1:21">
      <c r="A244" s="13">
        <v>45689</v>
      </c>
      <c r="B244" s="12">
        <v>123801165</v>
      </c>
      <c r="C244" s="12">
        <v>1991</v>
      </c>
      <c r="D244" s="12" t="s">
        <v>83</v>
      </c>
      <c r="E244" s="12" t="s">
        <v>50</v>
      </c>
      <c r="F244" s="12" t="s">
        <v>86</v>
      </c>
      <c r="G244" s="12" t="s">
        <v>87</v>
      </c>
      <c r="H244" s="12" t="s">
        <v>58</v>
      </c>
      <c r="I244" s="12" t="s">
        <v>37</v>
      </c>
      <c r="J244" s="12">
        <v>1.1</v>
      </c>
      <c r="K244" s="12" t="s">
        <v>88</v>
      </c>
      <c r="L244" s="12" t="s">
        <v>65</v>
      </c>
      <c r="M244" s="12" t="s">
        <v>96</v>
      </c>
      <c r="N244" s="12" t="s">
        <v>14</v>
      </c>
      <c r="O244" s="12" t="s">
        <v>5</v>
      </c>
      <c r="P244" s="12">
        <v>4</v>
      </c>
      <c r="Q244" s="12">
        <v>1</v>
      </c>
      <c r="R244" s="12" t="s">
        <v>11</v>
      </c>
      <c r="S244" s="14">
        <v>0.280555555555556</v>
      </c>
      <c r="T244" s="12" t="s">
        <v>41</v>
      </c>
      <c r="U244" s="12">
        <v>9984</v>
      </c>
    </row>
    <row r="245" spans="1:21">
      <c r="A245" s="13">
        <v>45870</v>
      </c>
      <c r="B245" s="12">
        <v>123603170</v>
      </c>
      <c r="C245" s="12">
        <v>1978</v>
      </c>
      <c r="D245" s="12" t="s">
        <v>83</v>
      </c>
      <c r="E245" s="12" t="s">
        <v>33</v>
      </c>
      <c r="F245" s="12" t="s">
        <v>43</v>
      </c>
      <c r="G245" s="12" t="s">
        <v>44</v>
      </c>
      <c r="H245" s="12" t="s">
        <v>36</v>
      </c>
      <c r="I245" s="12" t="s">
        <v>45</v>
      </c>
      <c r="J245" s="12">
        <v>1.09</v>
      </c>
      <c r="K245" s="12" t="s">
        <v>46</v>
      </c>
      <c r="L245" s="12" t="s">
        <v>39</v>
      </c>
      <c r="M245" s="12" t="s">
        <v>40</v>
      </c>
      <c r="N245" s="12" t="s">
        <v>14</v>
      </c>
      <c r="O245" s="12" t="s">
        <v>6</v>
      </c>
      <c r="P245" s="12">
        <v>0</v>
      </c>
      <c r="Q245" s="12">
        <v>3</v>
      </c>
      <c r="R245" s="12" t="s">
        <v>11</v>
      </c>
      <c r="S245" s="12" t="s">
        <v>48</v>
      </c>
      <c r="T245" s="12" t="s">
        <v>48</v>
      </c>
      <c r="U245" s="12">
        <v>538</v>
      </c>
    </row>
    <row r="246" spans="1:21">
      <c r="A246" s="13">
        <v>45870</v>
      </c>
      <c r="B246" s="12">
        <v>123888600</v>
      </c>
      <c r="C246" s="12">
        <v>1998</v>
      </c>
      <c r="D246" s="12" t="s">
        <v>83</v>
      </c>
      <c r="E246" s="12" t="s">
        <v>33</v>
      </c>
      <c r="F246" s="12" t="s">
        <v>80</v>
      </c>
      <c r="G246" s="12" t="s">
        <v>81</v>
      </c>
      <c r="H246" s="12" t="s">
        <v>36</v>
      </c>
      <c r="I246" s="12" t="s">
        <v>45</v>
      </c>
      <c r="J246" s="12">
        <v>1.093</v>
      </c>
      <c r="K246" s="12" t="s">
        <v>82</v>
      </c>
      <c r="L246" s="12" t="s">
        <v>65</v>
      </c>
      <c r="M246" s="12" t="s">
        <v>96</v>
      </c>
      <c r="N246" s="12" t="s">
        <v>14</v>
      </c>
      <c r="O246" s="12" t="s">
        <v>6</v>
      </c>
      <c r="P246" s="12">
        <v>0</v>
      </c>
      <c r="Q246" s="12">
        <v>3</v>
      </c>
      <c r="R246" s="12" t="s">
        <v>11</v>
      </c>
      <c r="S246" s="14">
        <v>0.720833333333333</v>
      </c>
      <c r="T246" s="12" t="s">
        <v>67</v>
      </c>
      <c r="U246" s="12">
        <v>1950</v>
      </c>
    </row>
    <row r="247" spans="1:21">
      <c r="A247" s="13">
        <v>45689</v>
      </c>
      <c r="B247" s="12">
        <v>123654120</v>
      </c>
      <c r="C247" s="12">
        <v>2001</v>
      </c>
      <c r="D247" s="12" t="s">
        <v>74</v>
      </c>
      <c r="E247" s="12" t="s">
        <v>33</v>
      </c>
      <c r="F247" s="12" t="s">
        <v>56</v>
      </c>
      <c r="G247" s="12" t="s">
        <v>57</v>
      </c>
      <c r="H247" s="12" t="s">
        <v>58</v>
      </c>
      <c r="I247" s="12" t="s">
        <v>45</v>
      </c>
      <c r="J247" s="12">
        <v>0.982</v>
      </c>
      <c r="K247" s="12" t="s">
        <v>59</v>
      </c>
      <c r="L247" s="12" t="s">
        <v>72</v>
      </c>
      <c r="M247" s="12" t="s">
        <v>73</v>
      </c>
      <c r="N247" s="12" t="s">
        <v>14</v>
      </c>
      <c r="O247" s="12" t="s">
        <v>5</v>
      </c>
      <c r="P247" s="12">
        <v>4</v>
      </c>
      <c r="Q247" s="12">
        <v>1</v>
      </c>
      <c r="R247" s="12" t="s">
        <v>13</v>
      </c>
      <c r="S247" s="14">
        <v>0.2625</v>
      </c>
      <c r="T247" s="12" t="s">
        <v>41</v>
      </c>
      <c r="U247" s="12">
        <v>22457</v>
      </c>
    </row>
    <row r="248" spans="1:21">
      <c r="A248" s="13">
        <v>45931</v>
      </c>
      <c r="B248" s="12">
        <v>123745514</v>
      </c>
      <c r="C248" s="12">
        <v>1994</v>
      </c>
      <c r="D248" s="12" t="s">
        <v>83</v>
      </c>
      <c r="E248" s="12" t="s">
        <v>33</v>
      </c>
      <c r="F248" s="12" t="s">
        <v>86</v>
      </c>
      <c r="G248" s="12" t="s">
        <v>87</v>
      </c>
      <c r="H248" s="12" t="s">
        <v>58</v>
      </c>
      <c r="I248" s="12" t="s">
        <v>45</v>
      </c>
      <c r="J248" s="12">
        <v>1.06</v>
      </c>
      <c r="K248" s="12" t="s">
        <v>88</v>
      </c>
      <c r="L248" s="12" t="s">
        <v>39</v>
      </c>
      <c r="M248" s="12" t="s">
        <v>40</v>
      </c>
      <c r="N248" s="12" t="s">
        <v>14</v>
      </c>
      <c r="O248" s="12" t="s">
        <v>6</v>
      </c>
      <c r="P248" s="12">
        <v>0</v>
      </c>
      <c r="Q248" s="12">
        <v>2</v>
      </c>
      <c r="R248" s="12" t="s">
        <v>13</v>
      </c>
      <c r="S248" s="14">
        <v>0.853472222222222</v>
      </c>
      <c r="T248" s="12" t="s">
        <v>67</v>
      </c>
      <c r="U248" s="12">
        <v>791</v>
      </c>
    </row>
    <row r="249" spans="1:21">
      <c r="A249" s="13">
        <v>45778</v>
      </c>
      <c r="B249" s="12">
        <v>123627055</v>
      </c>
      <c r="C249" s="12">
        <v>1984</v>
      </c>
      <c r="D249" s="12" t="s">
        <v>55</v>
      </c>
      <c r="E249" s="12" t="s">
        <v>50</v>
      </c>
      <c r="F249" s="12" t="s">
        <v>86</v>
      </c>
      <c r="G249" s="12" t="s">
        <v>87</v>
      </c>
      <c r="H249" s="12" t="s">
        <v>58</v>
      </c>
      <c r="I249" s="12" t="s">
        <v>37</v>
      </c>
      <c r="J249" s="12">
        <v>0.899</v>
      </c>
      <c r="K249" s="12" t="s">
        <v>88</v>
      </c>
      <c r="L249" s="12" t="s">
        <v>65</v>
      </c>
      <c r="M249" s="12" t="s">
        <v>66</v>
      </c>
      <c r="N249" s="12" t="s">
        <v>14</v>
      </c>
      <c r="O249" s="12" t="s">
        <v>5</v>
      </c>
      <c r="P249" s="12">
        <v>3</v>
      </c>
      <c r="Q249" s="12">
        <v>2</v>
      </c>
      <c r="R249" s="12" t="s">
        <v>11</v>
      </c>
      <c r="S249" s="12" t="s">
        <v>48</v>
      </c>
      <c r="T249" s="12" t="s">
        <v>48</v>
      </c>
      <c r="U249" s="12">
        <v>60133</v>
      </c>
    </row>
    <row r="250" spans="1:21">
      <c r="A250" s="13">
        <v>45931</v>
      </c>
      <c r="B250" s="12">
        <v>123626280</v>
      </c>
      <c r="C250" s="12">
        <v>1984</v>
      </c>
      <c r="D250" s="12" t="s">
        <v>83</v>
      </c>
      <c r="E250" s="12" t="s">
        <v>50</v>
      </c>
      <c r="F250" s="12" t="s">
        <v>75</v>
      </c>
      <c r="G250" s="12" t="s">
        <v>76</v>
      </c>
      <c r="H250" s="12" t="s">
        <v>53</v>
      </c>
      <c r="I250" s="12" t="s">
        <v>37</v>
      </c>
      <c r="J250" s="12">
        <v>0.84</v>
      </c>
      <c r="K250" s="12" t="s">
        <v>77</v>
      </c>
      <c r="L250" s="12" t="s">
        <v>39</v>
      </c>
      <c r="M250" s="12" t="s">
        <v>40</v>
      </c>
      <c r="N250" s="12" t="s">
        <v>14</v>
      </c>
      <c r="O250" s="12" t="s">
        <v>6</v>
      </c>
      <c r="P250" s="12">
        <v>0</v>
      </c>
      <c r="Q250" s="12">
        <v>3</v>
      </c>
      <c r="R250" s="12" t="s">
        <v>11</v>
      </c>
      <c r="S250" s="14">
        <v>0.8375</v>
      </c>
      <c r="T250" s="12" t="s">
        <v>67</v>
      </c>
      <c r="U250" s="12">
        <v>173</v>
      </c>
    </row>
    <row r="251" spans="1:21">
      <c r="A251" s="13">
        <v>45658</v>
      </c>
      <c r="B251" s="12">
        <v>123541740</v>
      </c>
      <c r="C251" s="12">
        <v>1991</v>
      </c>
      <c r="D251" s="12" t="s">
        <v>83</v>
      </c>
      <c r="E251" s="12" t="s">
        <v>50</v>
      </c>
      <c r="F251" s="12" t="s">
        <v>34</v>
      </c>
      <c r="G251" s="12" t="s">
        <v>35</v>
      </c>
      <c r="H251" s="12" t="s">
        <v>36</v>
      </c>
      <c r="I251" s="12" t="s">
        <v>45</v>
      </c>
      <c r="J251" s="12">
        <v>1.104</v>
      </c>
      <c r="K251" s="12" t="s">
        <v>38</v>
      </c>
      <c r="L251" s="12" t="s">
        <v>39</v>
      </c>
      <c r="M251" s="12" t="s">
        <v>78</v>
      </c>
      <c r="N251" s="12" t="s">
        <v>14</v>
      </c>
      <c r="O251" s="12" t="s">
        <v>6</v>
      </c>
      <c r="P251" s="12">
        <v>0</v>
      </c>
      <c r="Q251" s="12">
        <v>1</v>
      </c>
      <c r="R251" s="12" t="s">
        <v>13</v>
      </c>
      <c r="S251" s="12" t="s">
        <v>48</v>
      </c>
      <c r="T251" s="12" t="s">
        <v>48</v>
      </c>
      <c r="U251" s="12">
        <v>867</v>
      </c>
    </row>
    <row r="252" spans="1:21">
      <c r="A252" s="13">
        <v>45717</v>
      </c>
      <c r="B252" s="12">
        <v>123978944</v>
      </c>
      <c r="C252" s="12">
        <v>1961</v>
      </c>
      <c r="D252" s="12" t="s">
        <v>98</v>
      </c>
      <c r="E252" s="12" t="s">
        <v>33</v>
      </c>
      <c r="F252" s="12" t="s">
        <v>86</v>
      </c>
      <c r="G252" s="12" t="s">
        <v>87</v>
      </c>
      <c r="H252" s="12" t="s">
        <v>58</v>
      </c>
      <c r="I252" s="12" t="s">
        <v>37</v>
      </c>
      <c r="J252" s="12">
        <v>0.885</v>
      </c>
      <c r="K252" s="12" t="s">
        <v>88</v>
      </c>
      <c r="L252" s="12" t="s">
        <v>65</v>
      </c>
      <c r="M252" s="12" t="s">
        <v>96</v>
      </c>
      <c r="N252" s="12" t="s">
        <v>14</v>
      </c>
      <c r="O252" s="12" t="s">
        <v>6</v>
      </c>
      <c r="P252" s="12">
        <v>0</v>
      </c>
      <c r="Q252" s="12">
        <v>1</v>
      </c>
      <c r="R252" s="12" t="s">
        <v>11</v>
      </c>
      <c r="S252" s="12" t="s">
        <v>48</v>
      </c>
      <c r="T252" s="12" t="s">
        <v>48</v>
      </c>
      <c r="U252" s="12">
        <v>867</v>
      </c>
    </row>
    <row r="253" spans="1:21">
      <c r="A253" s="13">
        <v>45809</v>
      </c>
      <c r="B253" s="12">
        <v>123536394</v>
      </c>
      <c r="C253" s="12">
        <v>1994</v>
      </c>
      <c r="D253" s="12" t="s">
        <v>97</v>
      </c>
      <c r="E253" s="12" t="s">
        <v>50</v>
      </c>
      <c r="F253" s="12" t="s">
        <v>43</v>
      </c>
      <c r="G253" s="12" t="s">
        <v>44</v>
      </c>
      <c r="H253" s="12" t="s">
        <v>36</v>
      </c>
      <c r="I253" s="12" t="s">
        <v>45</v>
      </c>
      <c r="J253" s="12">
        <v>1.087</v>
      </c>
      <c r="K253" s="12" t="s">
        <v>46</v>
      </c>
      <c r="L253" s="12" t="s">
        <v>72</v>
      </c>
      <c r="M253" s="12" t="s">
        <v>95</v>
      </c>
      <c r="N253" s="12" t="s">
        <v>14</v>
      </c>
      <c r="O253" s="12" t="s">
        <v>6</v>
      </c>
      <c r="P253" s="12">
        <v>0</v>
      </c>
      <c r="Q253" s="12">
        <v>2</v>
      </c>
      <c r="R253" s="12" t="s">
        <v>11</v>
      </c>
      <c r="S253" s="14">
        <v>0.625</v>
      </c>
      <c r="T253" s="12" t="s">
        <v>67</v>
      </c>
      <c r="U253" s="12">
        <v>939</v>
      </c>
    </row>
    <row r="254" spans="1:21">
      <c r="A254" s="13">
        <v>45717</v>
      </c>
      <c r="B254" s="12">
        <v>123502924</v>
      </c>
      <c r="C254" s="12">
        <v>1969</v>
      </c>
      <c r="D254" s="12" t="s">
        <v>83</v>
      </c>
      <c r="E254" s="12" t="s">
        <v>33</v>
      </c>
      <c r="F254" s="12" t="s">
        <v>56</v>
      </c>
      <c r="G254" s="12" t="s">
        <v>57</v>
      </c>
      <c r="H254" s="12" t="s">
        <v>58</v>
      </c>
      <c r="I254" s="12" t="s">
        <v>45</v>
      </c>
      <c r="J254" s="12">
        <v>1.071</v>
      </c>
      <c r="K254" s="12" t="s">
        <v>59</v>
      </c>
      <c r="L254" s="12" t="s">
        <v>60</v>
      </c>
      <c r="M254" s="12" t="s">
        <v>48</v>
      </c>
      <c r="N254" s="12" t="s">
        <v>12</v>
      </c>
      <c r="O254" s="12" t="s">
        <v>6</v>
      </c>
      <c r="P254" s="12">
        <v>0</v>
      </c>
      <c r="Q254" s="12">
        <v>1</v>
      </c>
      <c r="R254" s="12" t="s">
        <v>11</v>
      </c>
      <c r="S254" s="14">
        <v>0.680555555555556</v>
      </c>
      <c r="T254" s="12" t="s">
        <v>67</v>
      </c>
      <c r="U254" s="12">
        <v>621</v>
      </c>
    </row>
    <row r="255" spans="1:21">
      <c r="A255" s="13">
        <v>45748</v>
      </c>
      <c r="B255" s="12">
        <v>123965252</v>
      </c>
      <c r="C255" s="12">
        <v>1993</v>
      </c>
      <c r="D255" s="12" t="s">
        <v>100</v>
      </c>
      <c r="E255" s="12" t="s">
        <v>33</v>
      </c>
      <c r="F255" s="12" t="s">
        <v>34</v>
      </c>
      <c r="G255" s="12" t="s">
        <v>35</v>
      </c>
      <c r="H255" s="12" t="s">
        <v>36</v>
      </c>
      <c r="I255" s="12" t="s">
        <v>45</v>
      </c>
      <c r="J255" s="12">
        <v>1.058</v>
      </c>
      <c r="K255" s="12" t="s">
        <v>38</v>
      </c>
      <c r="L255" s="12" t="s">
        <v>84</v>
      </c>
      <c r="M255" s="12" t="s">
        <v>85</v>
      </c>
      <c r="N255" s="12" t="s">
        <v>14</v>
      </c>
      <c r="O255" s="12" t="s">
        <v>5</v>
      </c>
      <c r="P255" s="12">
        <v>5</v>
      </c>
      <c r="Q255" s="12">
        <v>2</v>
      </c>
      <c r="R255" s="12" t="s">
        <v>13</v>
      </c>
      <c r="S255" s="14">
        <v>0.295138888888889</v>
      </c>
      <c r="T255" s="12" t="s">
        <v>41</v>
      </c>
      <c r="U255" s="12">
        <v>7883</v>
      </c>
    </row>
    <row r="256" spans="1:21">
      <c r="A256" s="13">
        <v>45870</v>
      </c>
      <c r="B256" s="12">
        <v>123757926</v>
      </c>
      <c r="C256" s="12">
        <v>1987</v>
      </c>
      <c r="D256" s="12" t="s">
        <v>49</v>
      </c>
      <c r="E256" s="12" t="s">
        <v>50</v>
      </c>
      <c r="F256" s="12" t="s">
        <v>69</v>
      </c>
      <c r="G256" s="12" t="s">
        <v>70</v>
      </c>
      <c r="H256" s="12" t="s">
        <v>58</v>
      </c>
      <c r="I256" s="12" t="s">
        <v>45</v>
      </c>
      <c r="J256" s="12">
        <v>1.059</v>
      </c>
      <c r="K256" s="12" t="s">
        <v>71</v>
      </c>
      <c r="L256" s="12" t="s">
        <v>84</v>
      </c>
      <c r="M256" s="12" t="s">
        <v>89</v>
      </c>
      <c r="N256" s="12" t="s">
        <v>14</v>
      </c>
      <c r="O256" s="12" t="s">
        <v>6</v>
      </c>
      <c r="P256" s="12">
        <v>0</v>
      </c>
      <c r="Q256" s="12">
        <v>2</v>
      </c>
      <c r="R256" s="12" t="s">
        <v>11</v>
      </c>
      <c r="S256" s="14">
        <v>0.832638888888889</v>
      </c>
      <c r="T256" s="12" t="s">
        <v>67</v>
      </c>
      <c r="U256" s="12">
        <v>329</v>
      </c>
    </row>
    <row r="257" spans="1:21">
      <c r="A257" s="13">
        <v>45689</v>
      </c>
      <c r="B257" s="12">
        <v>123694219</v>
      </c>
      <c r="C257" s="12">
        <v>1976</v>
      </c>
      <c r="D257" s="12" t="s">
        <v>68</v>
      </c>
      <c r="E257" s="12" t="s">
        <v>50</v>
      </c>
      <c r="F257" s="12" t="s">
        <v>56</v>
      </c>
      <c r="G257" s="12" t="s">
        <v>57</v>
      </c>
      <c r="H257" s="12" t="s">
        <v>58</v>
      </c>
      <c r="I257" s="12" t="s">
        <v>37</v>
      </c>
      <c r="J257" s="12">
        <v>0.964</v>
      </c>
      <c r="K257" s="12" t="s">
        <v>59</v>
      </c>
      <c r="L257" s="12" t="s">
        <v>39</v>
      </c>
      <c r="M257" s="12" t="s">
        <v>78</v>
      </c>
      <c r="N257" s="12" t="s">
        <v>14</v>
      </c>
      <c r="O257" s="12" t="s">
        <v>6</v>
      </c>
      <c r="P257" s="12">
        <v>0</v>
      </c>
      <c r="Q257" s="12">
        <v>1</v>
      </c>
      <c r="R257" s="12" t="s">
        <v>13</v>
      </c>
      <c r="S257" s="14">
        <v>0.429861111111111</v>
      </c>
      <c r="T257" s="12" t="s">
        <v>41</v>
      </c>
      <c r="U257" s="12">
        <v>198</v>
      </c>
    </row>
    <row r="258" spans="1:21">
      <c r="A258" s="13">
        <v>45901</v>
      </c>
      <c r="B258" s="12">
        <v>123857194</v>
      </c>
      <c r="C258" s="12">
        <v>2000</v>
      </c>
      <c r="D258" s="12" t="s">
        <v>32</v>
      </c>
      <c r="E258" s="12" t="s">
        <v>50</v>
      </c>
      <c r="F258" s="12" t="s">
        <v>56</v>
      </c>
      <c r="G258" s="12" t="s">
        <v>57</v>
      </c>
      <c r="H258" s="12" t="s">
        <v>58</v>
      </c>
      <c r="I258" s="12" t="s">
        <v>45</v>
      </c>
      <c r="J258" s="12">
        <v>0.815</v>
      </c>
      <c r="K258" s="12" t="s">
        <v>59</v>
      </c>
      <c r="L258" s="12" t="s">
        <v>39</v>
      </c>
      <c r="M258" s="12" t="s">
        <v>47</v>
      </c>
      <c r="N258" s="12" t="s">
        <v>14</v>
      </c>
      <c r="O258" s="12" t="s">
        <v>6</v>
      </c>
      <c r="P258" s="12">
        <v>0</v>
      </c>
      <c r="Q258" s="12">
        <v>2</v>
      </c>
      <c r="R258" s="12" t="s">
        <v>11</v>
      </c>
      <c r="S258" s="12" t="s">
        <v>48</v>
      </c>
      <c r="T258" s="12" t="s">
        <v>48</v>
      </c>
      <c r="U258" s="12">
        <v>375</v>
      </c>
    </row>
    <row r="259" spans="1:21">
      <c r="A259" s="13">
        <v>45689</v>
      </c>
      <c r="B259" s="12">
        <v>123664525</v>
      </c>
      <c r="C259" s="12">
        <v>1996</v>
      </c>
      <c r="D259" s="12" t="s">
        <v>97</v>
      </c>
      <c r="E259" s="12" t="s">
        <v>33</v>
      </c>
      <c r="F259" s="12" t="s">
        <v>43</v>
      </c>
      <c r="G259" s="12" t="s">
        <v>44</v>
      </c>
      <c r="H259" s="12" t="s">
        <v>36</v>
      </c>
      <c r="I259" s="12" t="s">
        <v>45</v>
      </c>
      <c r="J259" s="12">
        <v>1.122</v>
      </c>
      <c r="K259" s="12" t="s">
        <v>46</v>
      </c>
      <c r="L259" s="12" t="s">
        <v>99</v>
      </c>
      <c r="M259" s="12" t="s">
        <v>48</v>
      </c>
      <c r="N259" s="12" t="s">
        <v>12</v>
      </c>
      <c r="O259" s="12" t="s">
        <v>6</v>
      </c>
      <c r="P259" s="12">
        <v>0</v>
      </c>
      <c r="Q259" s="12">
        <v>3</v>
      </c>
      <c r="R259" s="12" t="s">
        <v>13</v>
      </c>
      <c r="S259" s="14">
        <v>0.424305555555556</v>
      </c>
      <c r="T259" s="12" t="s">
        <v>41</v>
      </c>
      <c r="U259" s="12">
        <v>2624</v>
      </c>
    </row>
    <row r="260" spans="1:21">
      <c r="A260" s="13">
        <v>45717</v>
      </c>
      <c r="B260" s="12">
        <v>123525589</v>
      </c>
      <c r="C260" s="12">
        <v>1963</v>
      </c>
      <c r="D260" s="12" t="s">
        <v>61</v>
      </c>
      <c r="E260" s="12" t="s">
        <v>33</v>
      </c>
      <c r="F260" s="12" t="s">
        <v>43</v>
      </c>
      <c r="G260" s="12" t="s">
        <v>44</v>
      </c>
      <c r="H260" s="12" t="s">
        <v>36</v>
      </c>
      <c r="I260" s="12" t="s">
        <v>45</v>
      </c>
      <c r="J260" s="12">
        <v>0.953</v>
      </c>
      <c r="K260" s="12" t="s">
        <v>46</v>
      </c>
      <c r="L260" s="12" t="s">
        <v>39</v>
      </c>
      <c r="M260" s="12" t="s">
        <v>78</v>
      </c>
      <c r="N260" s="12" t="s">
        <v>14</v>
      </c>
      <c r="O260" s="12" t="s">
        <v>4</v>
      </c>
      <c r="P260" s="12">
        <v>1</v>
      </c>
      <c r="Q260" s="12">
        <v>2</v>
      </c>
      <c r="R260" s="12" t="s">
        <v>11</v>
      </c>
      <c r="S260" s="12" t="s">
        <v>48</v>
      </c>
      <c r="T260" s="12" t="s">
        <v>48</v>
      </c>
      <c r="U260" s="12">
        <v>5065</v>
      </c>
    </row>
    <row r="261" spans="1:21">
      <c r="A261" s="13">
        <v>45870</v>
      </c>
      <c r="B261" s="12">
        <v>123852948</v>
      </c>
      <c r="C261" s="12">
        <v>2005</v>
      </c>
      <c r="D261" s="12" t="s">
        <v>42</v>
      </c>
      <c r="E261" s="12" t="s">
        <v>33</v>
      </c>
      <c r="F261" s="12" t="s">
        <v>75</v>
      </c>
      <c r="G261" s="12" t="s">
        <v>76</v>
      </c>
      <c r="H261" s="12" t="s">
        <v>53</v>
      </c>
      <c r="I261" s="12" t="s">
        <v>45</v>
      </c>
      <c r="J261" s="12">
        <v>0.956</v>
      </c>
      <c r="K261" s="12" t="s">
        <v>77</v>
      </c>
      <c r="L261" s="12" t="s">
        <v>72</v>
      </c>
      <c r="M261" s="12" t="s">
        <v>95</v>
      </c>
      <c r="N261" s="12" t="s">
        <v>14</v>
      </c>
      <c r="O261" s="12" t="s">
        <v>6</v>
      </c>
      <c r="P261" s="12">
        <v>0</v>
      </c>
      <c r="Q261" s="12">
        <v>2</v>
      </c>
      <c r="R261" s="12" t="s">
        <v>11</v>
      </c>
      <c r="S261" s="12" t="s">
        <v>48</v>
      </c>
      <c r="T261" s="12" t="s">
        <v>48</v>
      </c>
      <c r="U261" s="12">
        <v>683</v>
      </c>
    </row>
    <row r="262" spans="1:21">
      <c r="A262" s="13">
        <v>45931</v>
      </c>
      <c r="B262" s="12">
        <v>123551743</v>
      </c>
      <c r="C262" s="12">
        <v>1980</v>
      </c>
      <c r="D262" s="12" t="s">
        <v>79</v>
      </c>
      <c r="E262" s="12" t="s">
        <v>50</v>
      </c>
      <c r="F262" s="12" t="s">
        <v>43</v>
      </c>
      <c r="G262" s="12" t="s">
        <v>44</v>
      </c>
      <c r="H262" s="12" t="s">
        <v>36</v>
      </c>
      <c r="I262" s="12" t="s">
        <v>45</v>
      </c>
      <c r="J262" s="12">
        <v>1.158</v>
      </c>
      <c r="K262" s="12" t="s">
        <v>46</v>
      </c>
      <c r="L262" s="12" t="s">
        <v>39</v>
      </c>
      <c r="M262" s="12" t="s">
        <v>78</v>
      </c>
      <c r="N262" s="12" t="s">
        <v>14</v>
      </c>
      <c r="O262" s="12" t="s">
        <v>4</v>
      </c>
      <c r="P262" s="12">
        <v>1</v>
      </c>
      <c r="Q262" s="12">
        <v>1</v>
      </c>
      <c r="R262" s="12" t="s">
        <v>11</v>
      </c>
      <c r="S262" s="14">
        <v>0.721527777777778</v>
      </c>
      <c r="T262" s="12" t="s">
        <v>67</v>
      </c>
      <c r="U262" s="12">
        <v>6784</v>
      </c>
    </row>
    <row r="263" spans="1:21">
      <c r="A263" s="13">
        <v>45717</v>
      </c>
      <c r="B263" s="12">
        <v>123756827</v>
      </c>
      <c r="C263" s="12">
        <v>1965</v>
      </c>
      <c r="D263" s="12" t="s">
        <v>49</v>
      </c>
      <c r="E263" s="12" t="s">
        <v>50</v>
      </c>
      <c r="F263" s="12" t="s">
        <v>69</v>
      </c>
      <c r="G263" s="12" t="s">
        <v>70</v>
      </c>
      <c r="H263" s="12" t="s">
        <v>58</v>
      </c>
      <c r="I263" s="12" t="s">
        <v>45</v>
      </c>
      <c r="J263" s="12">
        <v>0.877</v>
      </c>
      <c r="K263" s="12" t="s">
        <v>71</v>
      </c>
      <c r="L263" s="12" t="s">
        <v>39</v>
      </c>
      <c r="M263" s="12" t="s">
        <v>40</v>
      </c>
      <c r="N263" s="12" t="s">
        <v>14</v>
      </c>
      <c r="O263" s="12" t="s">
        <v>6</v>
      </c>
      <c r="P263" s="12">
        <v>0</v>
      </c>
      <c r="Q263" s="12">
        <v>1</v>
      </c>
      <c r="R263" s="12" t="s">
        <v>13</v>
      </c>
      <c r="S263" s="14">
        <v>0.272916666666667</v>
      </c>
      <c r="T263" s="12" t="s">
        <v>41</v>
      </c>
      <c r="U263" s="12">
        <v>1845</v>
      </c>
    </row>
    <row r="264" spans="1:21">
      <c r="A264" s="13">
        <v>45748</v>
      </c>
      <c r="B264" s="12">
        <v>123972291</v>
      </c>
      <c r="C264" s="12">
        <v>1964</v>
      </c>
      <c r="D264" s="12" t="s">
        <v>94</v>
      </c>
      <c r="E264" s="12" t="s">
        <v>50</v>
      </c>
      <c r="F264" s="12" t="s">
        <v>34</v>
      </c>
      <c r="G264" s="12" t="s">
        <v>35</v>
      </c>
      <c r="H264" s="12" t="s">
        <v>36</v>
      </c>
      <c r="I264" s="12" t="s">
        <v>45</v>
      </c>
      <c r="J264" s="12">
        <v>1.148</v>
      </c>
      <c r="K264" s="12" t="s">
        <v>38</v>
      </c>
      <c r="L264" s="12" t="s">
        <v>84</v>
      </c>
      <c r="M264" s="12" t="s">
        <v>89</v>
      </c>
      <c r="N264" s="12" t="s">
        <v>14</v>
      </c>
      <c r="O264" s="12" t="s">
        <v>6</v>
      </c>
      <c r="P264" s="12">
        <v>0</v>
      </c>
      <c r="Q264" s="12">
        <v>3</v>
      </c>
      <c r="R264" s="12" t="s">
        <v>13</v>
      </c>
      <c r="S264" s="12" t="s">
        <v>48</v>
      </c>
      <c r="T264" s="12" t="s">
        <v>48</v>
      </c>
      <c r="U264" s="12">
        <v>603</v>
      </c>
    </row>
    <row r="265" spans="1:21">
      <c r="A265" s="13">
        <v>45992</v>
      </c>
      <c r="B265" s="12">
        <v>123965259</v>
      </c>
      <c r="C265" s="12">
        <v>1955</v>
      </c>
      <c r="D265" s="12" t="s">
        <v>61</v>
      </c>
      <c r="E265" s="12" t="s">
        <v>50</v>
      </c>
      <c r="F265" s="12" t="s">
        <v>62</v>
      </c>
      <c r="G265" s="12" t="s">
        <v>63</v>
      </c>
      <c r="H265" s="12" t="s">
        <v>58</v>
      </c>
      <c r="I265" s="12" t="s">
        <v>45</v>
      </c>
      <c r="J265" s="12">
        <v>0.901</v>
      </c>
      <c r="K265" s="12" t="s">
        <v>64</v>
      </c>
      <c r="L265" s="12" t="s">
        <v>65</v>
      </c>
      <c r="M265" s="12" t="s">
        <v>66</v>
      </c>
      <c r="N265" s="12" t="s">
        <v>14</v>
      </c>
      <c r="O265" s="12" t="s">
        <v>6</v>
      </c>
      <c r="P265" s="12">
        <v>0</v>
      </c>
      <c r="Q265" s="12">
        <v>2</v>
      </c>
      <c r="R265" s="12" t="s">
        <v>11</v>
      </c>
      <c r="S265" s="12" t="s">
        <v>48</v>
      </c>
      <c r="T265" s="12" t="s">
        <v>48</v>
      </c>
      <c r="U265" s="12">
        <v>456</v>
      </c>
    </row>
    <row r="266" spans="1:21">
      <c r="A266" s="13">
        <v>45992</v>
      </c>
      <c r="B266" s="12">
        <v>123652265</v>
      </c>
      <c r="C266" s="12">
        <v>1982</v>
      </c>
      <c r="D266" s="12" t="s">
        <v>100</v>
      </c>
      <c r="E266" s="12" t="s">
        <v>50</v>
      </c>
      <c r="F266" s="12" t="s">
        <v>34</v>
      </c>
      <c r="G266" s="12" t="s">
        <v>35</v>
      </c>
      <c r="H266" s="12" t="s">
        <v>36</v>
      </c>
      <c r="I266" s="12" t="s">
        <v>45</v>
      </c>
      <c r="J266" s="12">
        <v>1.091</v>
      </c>
      <c r="K266" s="12" t="s">
        <v>38</v>
      </c>
      <c r="L266" s="12" t="s">
        <v>65</v>
      </c>
      <c r="M266" s="12" t="s">
        <v>66</v>
      </c>
      <c r="N266" s="12" t="s">
        <v>14</v>
      </c>
      <c r="O266" s="12" t="s">
        <v>6</v>
      </c>
      <c r="P266" s="12">
        <v>0</v>
      </c>
      <c r="Q266" s="12">
        <v>2</v>
      </c>
      <c r="R266" s="12" t="s">
        <v>11</v>
      </c>
      <c r="S266" s="14">
        <v>0.579166666666667</v>
      </c>
      <c r="T266" s="12" t="s">
        <v>67</v>
      </c>
      <c r="U266" s="12">
        <v>1177</v>
      </c>
    </row>
    <row r="267" spans="1:21">
      <c r="A267" s="13">
        <v>45839</v>
      </c>
      <c r="B267" s="12">
        <v>123880483</v>
      </c>
      <c r="C267" s="12">
        <v>1968</v>
      </c>
      <c r="D267" s="12" t="s">
        <v>61</v>
      </c>
      <c r="E267" s="12" t="s">
        <v>50</v>
      </c>
      <c r="F267" s="12" t="s">
        <v>51</v>
      </c>
      <c r="G267" s="12" t="s">
        <v>52</v>
      </c>
      <c r="H267" s="12" t="s">
        <v>53</v>
      </c>
      <c r="I267" s="12" t="s">
        <v>45</v>
      </c>
      <c r="J267" s="12">
        <v>1.12</v>
      </c>
      <c r="K267" s="12" t="s">
        <v>54</v>
      </c>
      <c r="L267" s="12" t="s">
        <v>60</v>
      </c>
      <c r="M267" s="12" t="s">
        <v>48</v>
      </c>
      <c r="N267" s="12" t="s">
        <v>12</v>
      </c>
      <c r="O267" s="12" t="s">
        <v>5</v>
      </c>
      <c r="P267" s="12">
        <v>3</v>
      </c>
      <c r="Q267" s="12">
        <v>3</v>
      </c>
      <c r="R267" s="12" t="s">
        <v>11</v>
      </c>
      <c r="S267" s="14">
        <v>0.448611111111111</v>
      </c>
      <c r="T267" s="12" t="s">
        <v>41</v>
      </c>
      <c r="U267" s="12">
        <v>15256</v>
      </c>
    </row>
    <row r="268" spans="1:21">
      <c r="A268" s="13">
        <v>45809</v>
      </c>
      <c r="B268" s="12">
        <v>123789295</v>
      </c>
      <c r="C268" s="12">
        <v>1964</v>
      </c>
      <c r="D268" s="12" t="s">
        <v>79</v>
      </c>
      <c r="E268" s="12" t="s">
        <v>33</v>
      </c>
      <c r="F268" s="12" t="s">
        <v>80</v>
      </c>
      <c r="G268" s="12" t="s">
        <v>81</v>
      </c>
      <c r="H268" s="12" t="s">
        <v>36</v>
      </c>
      <c r="I268" s="12" t="s">
        <v>45</v>
      </c>
      <c r="J268" s="12">
        <v>1.068</v>
      </c>
      <c r="K268" s="12" t="s">
        <v>82</v>
      </c>
      <c r="L268" s="12" t="s">
        <v>39</v>
      </c>
      <c r="M268" s="12" t="s">
        <v>40</v>
      </c>
      <c r="N268" s="12" t="s">
        <v>14</v>
      </c>
      <c r="O268" s="12" t="s">
        <v>6</v>
      </c>
      <c r="P268" s="12">
        <v>0</v>
      </c>
      <c r="Q268" s="12">
        <v>1</v>
      </c>
      <c r="R268" s="12" t="s">
        <v>13</v>
      </c>
      <c r="S268" s="12" t="s">
        <v>48</v>
      </c>
      <c r="T268" s="12" t="s">
        <v>48</v>
      </c>
      <c r="U268" s="12">
        <v>1795</v>
      </c>
    </row>
    <row r="269" spans="1:21">
      <c r="A269" s="13">
        <v>45778</v>
      </c>
      <c r="B269" s="12">
        <v>123716776</v>
      </c>
      <c r="C269" s="12">
        <v>1979</v>
      </c>
      <c r="D269" s="12" t="s">
        <v>68</v>
      </c>
      <c r="E269" s="12" t="s">
        <v>50</v>
      </c>
      <c r="F269" s="12" t="s">
        <v>43</v>
      </c>
      <c r="G269" s="12" t="s">
        <v>44</v>
      </c>
      <c r="H269" s="12" t="s">
        <v>36</v>
      </c>
      <c r="I269" s="12" t="s">
        <v>45</v>
      </c>
      <c r="J269" s="12">
        <v>0.906</v>
      </c>
      <c r="K269" s="12" t="s">
        <v>46</v>
      </c>
      <c r="L269" s="12" t="s">
        <v>72</v>
      </c>
      <c r="M269" s="12" t="s">
        <v>95</v>
      </c>
      <c r="N269" s="12" t="s">
        <v>14</v>
      </c>
      <c r="O269" s="12" t="s">
        <v>6</v>
      </c>
      <c r="P269" s="12">
        <v>0</v>
      </c>
      <c r="Q269" s="12">
        <v>2</v>
      </c>
      <c r="R269" s="12" t="s">
        <v>11</v>
      </c>
      <c r="S269" s="12" t="s">
        <v>48</v>
      </c>
      <c r="T269" s="12" t="s">
        <v>48</v>
      </c>
      <c r="U269" s="12">
        <v>1487</v>
      </c>
    </row>
    <row r="270" spans="1:21">
      <c r="A270" s="13">
        <v>45870</v>
      </c>
      <c r="B270" s="12">
        <v>123532120</v>
      </c>
      <c r="C270" s="12">
        <v>1966</v>
      </c>
      <c r="D270" s="12" t="s">
        <v>79</v>
      </c>
      <c r="E270" s="12" t="s">
        <v>50</v>
      </c>
      <c r="F270" s="12" t="s">
        <v>56</v>
      </c>
      <c r="G270" s="12" t="s">
        <v>57</v>
      </c>
      <c r="H270" s="12" t="s">
        <v>58</v>
      </c>
      <c r="I270" s="12" t="s">
        <v>37</v>
      </c>
      <c r="J270" s="12">
        <v>1.003</v>
      </c>
      <c r="K270" s="12" t="s">
        <v>59</v>
      </c>
      <c r="L270" s="12" t="s">
        <v>39</v>
      </c>
      <c r="M270" s="12" t="s">
        <v>47</v>
      </c>
      <c r="N270" s="12" t="s">
        <v>14</v>
      </c>
      <c r="O270" s="12" t="s">
        <v>5</v>
      </c>
      <c r="P270" s="12">
        <v>4</v>
      </c>
      <c r="Q270" s="12">
        <v>1</v>
      </c>
      <c r="R270" s="12" t="s">
        <v>13</v>
      </c>
      <c r="S270" s="14">
        <v>0.615277777777778</v>
      </c>
      <c r="T270" s="12" t="s">
        <v>67</v>
      </c>
      <c r="U270" s="12">
        <v>46347</v>
      </c>
    </row>
    <row r="271" spans="1:21">
      <c r="A271" s="13">
        <v>45870</v>
      </c>
      <c r="B271" s="12">
        <v>123660739</v>
      </c>
      <c r="C271" s="12">
        <v>2005</v>
      </c>
      <c r="D271" s="12" t="s">
        <v>32</v>
      </c>
      <c r="E271" s="12" t="s">
        <v>33</v>
      </c>
      <c r="F271" s="12" t="s">
        <v>51</v>
      </c>
      <c r="G271" s="12" t="s">
        <v>52</v>
      </c>
      <c r="H271" s="12" t="s">
        <v>53</v>
      </c>
      <c r="I271" s="12" t="s">
        <v>45</v>
      </c>
      <c r="J271" s="12">
        <v>1.173</v>
      </c>
      <c r="K271" s="12" t="s">
        <v>54</v>
      </c>
      <c r="L271" s="12" t="s">
        <v>65</v>
      </c>
      <c r="M271" s="12" t="s">
        <v>66</v>
      </c>
      <c r="N271" s="12" t="s">
        <v>14</v>
      </c>
      <c r="O271" s="12" t="s">
        <v>5</v>
      </c>
      <c r="P271" s="12">
        <v>6</v>
      </c>
      <c r="Q271" s="12">
        <v>1</v>
      </c>
      <c r="R271" s="12" t="s">
        <v>13</v>
      </c>
      <c r="S271" s="14">
        <v>0.429861111111111</v>
      </c>
      <c r="T271" s="12" t="s">
        <v>41</v>
      </c>
      <c r="U271" s="12">
        <v>54256</v>
      </c>
    </row>
    <row r="272" spans="1:21">
      <c r="A272" s="13">
        <v>45748</v>
      </c>
      <c r="B272" s="12">
        <v>123810642</v>
      </c>
      <c r="C272" s="12">
        <v>1971</v>
      </c>
      <c r="D272" s="12" t="s">
        <v>55</v>
      </c>
      <c r="E272" s="12" t="s">
        <v>50</v>
      </c>
      <c r="F272" s="12" t="s">
        <v>86</v>
      </c>
      <c r="G272" s="12" t="s">
        <v>87</v>
      </c>
      <c r="H272" s="12" t="s">
        <v>58</v>
      </c>
      <c r="I272" s="12" t="s">
        <v>37</v>
      </c>
      <c r="J272" s="12">
        <v>1.247</v>
      </c>
      <c r="K272" s="12" t="s">
        <v>88</v>
      </c>
      <c r="L272" s="12" t="s">
        <v>39</v>
      </c>
      <c r="M272" s="12" t="s">
        <v>40</v>
      </c>
      <c r="N272" s="12" t="s">
        <v>14</v>
      </c>
      <c r="O272" s="12" t="s">
        <v>4</v>
      </c>
      <c r="P272" s="12">
        <v>1</v>
      </c>
      <c r="Q272" s="12">
        <v>2</v>
      </c>
      <c r="R272" s="12" t="s">
        <v>13</v>
      </c>
      <c r="S272" s="14">
        <v>0.647222222222222</v>
      </c>
      <c r="T272" s="12" t="s">
        <v>67</v>
      </c>
      <c r="U272" s="12">
        <v>4547</v>
      </c>
    </row>
    <row r="273" spans="1:21">
      <c r="A273" s="13">
        <v>45658</v>
      </c>
      <c r="B273" s="12">
        <v>123992726</v>
      </c>
      <c r="C273" s="12">
        <v>1988</v>
      </c>
      <c r="D273" s="12" t="s">
        <v>90</v>
      </c>
      <c r="E273" s="12" t="s">
        <v>33</v>
      </c>
      <c r="F273" s="12" t="s">
        <v>56</v>
      </c>
      <c r="G273" s="12" t="s">
        <v>57</v>
      </c>
      <c r="H273" s="12" t="s">
        <v>58</v>
      </c>
      <c r="I273" s="12" t="s">
        <v>45</v>
      </c>
      <c r="J273" s="12">
        <v>1.048</v>
      </c>
      <c r="K273" s="12" t="s">
        <v>59</v>
      </c>
      <c r="L273" s="12" t="s">
        <v>72</v>
      </c>
      <c r="M273" s="12" t="s">
        <v>95</v>
      </c>
      <c r="N273" s="12" t="s">
        <v>14</v>
      </c>
      <c r="O273" s="12" t="s">
        <v>4</v>
      </c>
      <c r="P273" s="12">
        <v>1</v>
      </c>
      <c r="Q273" s="12">
        <v>2</v>
      </c>
      <c r="R273" s="12" t="s">
        <v>11</v>
      </c>
      <c r="S273" s="14">
        <v>0.890277777777778</v>
      </c>
      <c r="T273" s="12" t="s">
        <v>67</v>
      </c>
      <c r="U273" s="12">
        <v>1797</v>
      </c>
    </row>
    <row r="274" spans="1:21">
      <c r="A274" s="13">
        <v>45689</v>
      </c>
      <c r="B274" s="12">
        <v>123458660</v>
      </c>
      <c r="C274" s="12">
        <v>1987</v>
      </c>
      <c r="D274" s="12" t="s">
        <v>79</v>
      </c>
      <c r="E274" s="12" t="s">
        <v>33</v>
      </c>
      <c r="F274" s="12" t="s">
        <v>69</v>
      </c>
      <c r="G274" s="12" t="s">
        <v>70</v>
      </c>
      <c r="H274" s="12" t="s">
        <v>58</v>
      </c>
      <c r="I274" s="12" t="s">
        <v>45</v>
      </c>
      <c r="J274" s="12">
        <v>1.07</v>
      </c>
      <c r="K274" s="12" t="s">
        <v>71</v>
      </c>
      <c r="L274" s="12" t="s">
        <v>39</v>
      </c>
      <c r="M274" s="12" t="s">
        <v>47</v>
      </c>
      <c r="N274" s="12" t="s">
        <v>14</v>
      </c>
      <c r="O274" s="12" t="s">
        <v>5</v>
      </c>
      <c r="P274" s="12">
        <v>4</v>
      </c>
      <c r="Q274" s="12">
        <v>3</v>
      </c>
      <c r="R274" s="12" t="s">
        <v>13</v>
      </c>
      <c r="S274" s="14">
        <v>0.504861111111111</v>
      </c>
      <c r="T274" s="12" t="s">
        <v>67</v>
      </c>
      <c r="U274" s="12">
        <v>111745</v>
      </c>
    </row>
    <row r="275" spans="1:21">
      <c r="A275" s="13">
        <v>45992</v>
      </c>
      <c r="B275" s="12">
        <v>123846460</v>
      </c>
      <c r="C275" s="12">
        <v>1991</v>
      </c>
      <c r="D275" s="12" t="s">
        <v>32</v>
      </c>
      <c r="E275" s="12" t="s">
        <v>33</v>
      </c>
      <c r="F275" s="12" t="s">
        <v>34</v>
      </c>
      <c r="G275" s="12" t="s">
        <v>35</v>
      </c>
      <c r="H275" s="12" t="s">
        <v>36</v>
      </c>
      <c r="I275" s="12" t="s">
        <v>45</v>
      </c>
      <c r="J275" s="12">
        <v>1.114</v>
      </c>
      <c r="K275" s="12" t="s">
        <v>38</v>
      </c>
      <c r="L275" s="12" t="s">
        <v>65</v>
      </c>
      <c r="M275" s="12" t="s">
        <v>66</v>
      </c>
      <c r="N275" s="12" t="s">
        <v>14</v>
      </c>
      <c r="O275" s="12" t="s">
        <v>5</v>
      </c>
      <c r="P275" s="12">
        <v>4</v>
      </c>
      <c r="Q275" s="12">
        <v>1</v>
      </c>
      <c r="R275" s="12" t="s">
        <v>13</v>
      </c>
      <c r="S275" s="14">
        <v>0.765277777777778</v>
      </c>
      <c r="T275" s="12" t="s">
        <v>67</v>
      </c>
      <c r="U275" s="12">
        <v>51469</v>
      </c>
    </row>
    <row r="276" spans="1:21">
      <c r="A276" s="13">
        <v>45809</v>
      </c>
      <c r="B276" s="12">
        <v>123916406</v>
      </c>
      <c r="C276" s="12">
        <v>1968</v>
      </c>
      <c r="D276" s="12" t="s">
        <v>32</v>
      </c>
      <c r="E276" s="12" t="s">
        <v>33</v>
      </c>
      <c r="F276" s="12" t="s">
        <v>43</v>
      </c>
      <c r="G276" s="12" t="s">
        <v>44</v>
      </c>
      <c r="H276" s="12" t="s">
        <v>36</v>
      </c>
      <c r="I276" s="12" t="s">
        <v>45</v>
      </c>
      <c r="J276" s="12">
        <v>1.333</v>
      </c>
      <c r="K276" s="12" t="s">
        <v>46</v>
      </c>
      <c r="L276" s="12" t="s">
        <v>65</v>
      </c>
      <c r="M276" s="12" t="s">
        <v>66</v>
      </c>
      <c r="N276" s="12" t="s">
        <v>14</v>
      </c>
      <c r="O276" s="12" t="s">
        <v>5</v>
      </c>
      <c r="P276" s="12">
        <v>2</v>
      </c>
      <c r="Q276" s="12">
        <v>3</v>
      </c>
      <c r="R276" s="12" t="s">
        <v>11</v>
      </c>
      <c r="S276" s="14">
        <v>0.265277777777778</v>
      </c>
      <c r="T276" s="12" t="s">
        <v>41</v>
      </c>
      <c r="U276" s="12">
        <v>21474</v>
      </c>
    </row>
    <row r="277" spans="1:21">
      <c r="A277" s="13">
        <v>45809</v>
      </c>
      <c r="B277" s="12">
        <v>123973448</v>
      </c>
      <c r="C277" s="12">
        <v>1991</v>
      </c>
      <c r="D277" s="12" t="s">
        <v>61</v>
      </c>
      <c r="E277" s="12" t="s">
        <v>50</v>
      </c>
      <c r="F277" s="12" t="s">
        <v>80</v>
      </c>
      <c r="G277" s="12" t="s">
        <v>81</v>
      </c>
      <c r="H277" s="12" t="s">
        <v>36</v>
      </c>
      <c r="I277" s="12" t="s">
        <v>37</v>
      </c>
      <c r="J277" s="12">
        <v>1.01</v>
      </c>
      <c r="K277" s="12" t="s">
        <v>82</v>
      </c>
      <c r="L277" s="12" t="s">
        <v>60</v>
      </c>
      <c r="M277" s="12" t="s">
        <v>48</v>
      </c>
      <c r="N277" s="12" t="s">
        <v>12</v>
      </c>
      <c r="O277" s="12" t="s">
        <v>6</v>
      </c>
      <c r="P277" s="12">
        <v>0</v>
      </c>
      <c r="Q277" s="12">
        <v>2</v>
      </c>
      <c r="R277" s="12" t="s">
        <v>11</v>
      </c>
      <c r="S277" s="14">
        <v>0.459027777777778</v>
      </c>
      <c r="T277" s="12" t="s">
        <v>41</v>
      </c>
      <c r="U277" s="12">
        <v>388</v>
      </c>
    </row>
    <row r="278" spans="1:21">
      <c r="A278" s="13">
        <v>45809</v>
      </c>
      <c r="B278" s="12">
        <v>123686548</v>
      </c>
      <c r="C278" s="12">
        <v>1985</v>
      </c>
      <c r="D278" s="12" t="s">
        <v>98</v>
      </c>
      <c r="E278" s="12" t="s">
        <v>33</v>
      </c>
      <c r="F278" s="12" t="s">
        <v>43</v>
      </c>
      <c r="G278" s="12" t="s">
        <v>44</v>
      </c>
      <c r="H278" s="12" t="s">
        <v>36</v>
      </c>
      <c r="I278" s="12" t="s">
        <v>45</v>
      </c>
      <c r="J278" s="12">
        <v>1.266</v>
      </c>
      <c r="K278" s="12" t="s">
        <v>46</v>
      </c>
      <c r="L278" s="12" t="s">
        <v>39</v>
      </c>
      <c r="M278" s="12" t="s">
        <v>40</v>
      </c>
      <c r="N278" s="12" t="s">
        <v>14</v>
      </c>
      <c r="O278" s="12" t="s">
        <v>5</v>
      </c>
      <c r="P278" s="12">
        <v>3</v>
      </c>
      <c r="Q278" s="12">
        <v>2</v>
      </c>
      <c r="R278" s="12" t="s">
        <v>13</v>
      </c>
      <c r="S278" s="14">
        <v>0.731944444444444</v>
      </c>
      <c r="T278" s="12" t="s">
        <v>67</v>
      </c>
      <c r="U278" s="12">
        <v>84130</v>
      </c>
    </row>
    <row r="279" spans="1:21">
      <c r="A279" s="13">
        <v>45931</v>
      </c>
      <c r="B279" s="12">
        <v>123520452</v>
      </c>
      <c r="C279" s="12">
        <v>1977</v>
      </c>
      <c r="D279" s="12" t="s">
        <v>83</v>
      </c>
      <c r="E279" s="12" t="s">
        <v>50</v>
      </c>
      <c r="F279" s="12" t="s">
        <v>75</v>
      </c>
      <c r="G279" s="12" t="s">
        <v>76</v>
      </c>
      <c r="H279" s="12" t="s">
        <v>53</v>
      </c>
      <c r="I279" s="12" t="s">
        <v>45</v>
      </c>
      <c r="J279" s="12">
        <v>1.036</v>
      </c>
      <c r="K279" s="12" t="s">
        <v>77</v>
      </c>
      <c r="L279" s="12" t="s">
        <v>99</v>
      </c>
      <c r="M279" s="12" t="s">
        <v>48</v>
      </c>
      <c r="N279" s="12" t="s">
        <v>12</v>
      </c>
      <c r="O279" s="12" t="s">
        <v>6</v>
      </c>
      <c r="P279" s="12">
        <v>0</v>
      </c>
      <c r="Q279" s="12">
        <v>3</v>
      </c>
      <c r="R279" s="12" t="s">
        <v>13</v>
      </c>
      <c r="S279" s="12" t="s">
        <v>48</v>
      </c>
      <c r="T279" s="12" t="s">
        <v>48</v>
      </c>
      <c r="U279" s="12">
        <v>1033</v>
      </c>
    </row>
    <row r="280" spans="1:21">
      <c r="A280" s="13">
        <v>45658</v>
      </c>
      <c r="B280" s="12">
        <v>123603405</v>
      </c>
      <c r="C280" s="12">
        <v>1989</v>
      </c>
      <c r="D280" s="12" t="s">
        <v>32</v>
      </c>
      <c r="E280" s="12" t="s">
        <v>50</v>
      </c>
      <c r="F280" s="12" t="s">
        <v>62</v>
      </c>
      <c r="G280" s="12" t="s">
        <v>63</v>
      </c>
      <c r="H280" s="12" t="s">
        <v>58</v>
      </c>
      <c r="I280" s="12" t="s">
        <v>45</v>
      </c>
      <c r="J280" s="12">
        <v>1.046</v>
      </c>
      <c r="K280" s="12" t="s">
        <v>64</v>
      </c>
      <c r="L280" s="12" t="s">
        <v>39</v>
      </c>
      <c r="M280" s="12" t="s">
        <v>78</v>
      </c>
      <c r="N280" s="12" t="s">
        <v>14</v>
      </c>
      <c r="O280" s="12" t="s">
        <v>5</v>
      </c>
      <c r="P280" s="12">
        <v>3</v>
      </c>
      <c r="Q280" s="12">
        <v>2</v>
      </c>
      <c r="R280" s="12" t="s">
        <v>11</v>
      </c>
      <c r="S280" s="14">
        <v>0.863888888888889</v>
      </c>
      <c r="T280" s="12" t="s">
        <v>67</v>
      </c>
      <c r="U280" s="12">
        <v>39307</v>
      </c>
    </row>
    <row r="281" spans="1:21">
      <c r="A281" s="13">
        <v>45658</v>
      </c>
      <c r="B281" s="12">
        <v>123918689</v>
      </c>
      <c r="C281" s="12">
        <v>1997</v>
      </c>
      <c r="D281" s="12" t="s">
        <v>55</v>
      </c>
      <c r="E281" s="12" t="s">
        <v>50</v>
      </c>
      <c r="F281" s="12" t="s">
        <v>34</v>
      </c>
      <c r="G281" s="12" t="s">
        <v>35</v>
      </c>
      <c r="H281" s="12" t="s">
        <v>36</v>
      </c>
      <c r="I281" s="12" t="s">
        <v>45</v>
      </c>
      <c r="J281" s="12">
        <v>1.132</v>
      </c>
      <c r="K281" s="12" t="s">
        <v>38</v>
      </c>
      <c r="L281" s="12" t="s">
        <v>39</v>
      </c>
      <c r="M281" s="12" t="s">
        <v>47</v>
      </c>
      <c r="N281" s="12" t="s">
        <v>14</v>
      </c>
      <c r="O281" s="12" t="s">
        <v>4</v>
      </c>
      <c r="P281" s="12">
        <v>1</v>
      </c>
      <c r="Q281" s="12">
        <v>2</v>
      </c>
      <c r="R281" s="12" t="s">
        <v>13</v>
      </c>
      <c r="S281" s="14">
        <v>0.725694444444444</v>
      </c>
      <c r="T281" s="12" t="s">
        <v>67</v>
      </c>
      <c r="U281" s="12">
        <v>7498</v>
      </c>
    </row>
    <row r="282" spans="1:21">
      <c r="A282" s="13">
        <v>45748</v>
      </c>
      <c r="B282" s="12">
        <v>123933595</v>
      </c>
      <c r="C282" s="12">
        <v>1962</v>
      </c>
      <c r="D282" s="12" t="s">
        <v>42</v>
      </c>
      <c r="E282" s="12" t="s">
        <v>50</v>
      </c>
      <c r="F282" s="12" t="s">
        <v>34</v>
      </c>
      <c r="G282" s="12" t="s">
        <v>35</v>
      </c>
      <c r="H282" s="12" t="s">
        <v>36</v>
      </c>
      <c r="I282" s="12" t="s">
        <v>45</v>
      </c>
      <c r="J282" s="12">
        <v>1.07</v>
      </c>
      <c r="K282" s="12" t="s">
        <v>38</v>
      </c>
      <c r="L282" s="12" t="s">
        <v>39</v>
      </c>
      <c r="M282" s="12" t="s">
        <v>47</v>
      </c>
      <c r="N282" s="12" t="s">
        <v>14</v>
      </c>
      <c r="O282" s="12" t="s">
        <v>6</v>
      </c>
      <c r="P282" s="12">
        <v>0</v>
      </c>
      <c r="Q282" s="12">
        <v>1</v>
      </c>
      <c r="R282" s="12" t="s">
        <v>13</v>
      </c>
      <c r="S282" s="14">
        <v>0.900694444444444</v>
      </c>
      <c r="T282" s="12" t="s">
        <v>67</v>
      </c>
      <c r="U282" s="12">
        <v>585</v>
      </c>
    </row>
    <row r="283" spans="1:21">
      <c r="A283" s="13">
        <v>45809</v>
      </c>
      <c r="B283" s="12">
        <v>123802567</v>
      </c>
      <c r="C283" s="12">
        <v>1989</v>
      </c>
      <c r="D283" s="12" t="s">
        <v>74</v>
      </c>
      <c r="E283" s="12" t="s">
        <v>33</v>
      </c>
      <c r="F283" s="12" t="s">
        <v>34</v>
      </c>
      <c r="G283" s="12" t="s">
        <v>35</v>
      </c>
      <c r="H283" s="12" t="s">
        <v>36</v>
      </c>
      <c r="I283" s="12" t="s">
        <v>45</v>
      </c>
      <c r="J283" s="12">
        <v>0.933</v>
      </c>
      <c r="K283" s="12" t="s">
        <v>38</v>
      </c>
      <c r="L283" s="12" t="s">
        <v>39</v>
      </c>
      <c r="M283" s="12" t="s">
        <v>78</v>
      </c>
      <c r="N283" s="12" t="s">
        <v>14</v>
      </c>
      <c r="O283" s="12" t="s">
        <v>5</v>
      </c>
      <c r="P283" s="12">
        <v>5</v>
      </c>
      <c r="Q283" s="12">
        <v>1</v>
      </c>
      <c r="R283" s="12" t="s">
        <v>11</v>
      </c>
      <c r="S283" s="12" t="s">
        <v>48</v>
      </c>
      <c r="T283" s="12" t="s">
        <v>48</v>
      </c>
      <c r="U283" s="12">
        <v>80723</v>
      </c>
    </row>
    <row r="284" spans="1:21">
      <c r="A284" s="13">
        <v>45901</v>
      </c>
      <c r="B284" s="12">
        <v>123522770</v>
      </c>
      <c r="C284" s="12">
        <v>1988</v>
      </c>
      <c r="D284" s="12" t="s">
        <v>83</v>
      </c>
      <c r="E284" s="12" t="s">
        <v>50</v>
      </c>
      <c r="F284" s="12" t="s">
        <v>91</v>
      </c>
      <c r="G284" s="12" t="s">
        <v>92</v>
      </c>
      <c r="H284" s="12" t="s">
        <v>58</v>
      </c>
      <c r="I284" s="12" t="s">
        <v>45</v>
      </c>
      <c r="J284" s="12">
        <v>1.029</v>
      </c>
      <c r="K284" s="12" t="s">
        <v>93</v>
      </c>
      <c r="L284" s="12" t="s">
        <v>72</v>
      </c>
      <c r="M284" s="12" t="s">
        <v>73</v>
      </c>
      <c r="N284" s="12" t="s">
        <v>14</v>
      </c>
      <c r="O284" s="12" t="s">
        <v>4</v>
      </c>
      <c r="P284" s="12">
        <v>1</v>
      </c>
      <c r="Q284" s="12">
        <v>3</v>
      </c>
      <c r="R284" s="12" t="s">
        <v>13</v>
      </c>
      <c r="S284" s="14">
        <v>0.407638888888889</v>
      </c>
      <c r="T284" s="12" t="s">
        <v>41</v>
      </c>
      <c r="U284" s="12">
        <v>9706</v>
      </c>
    </row>
    <row r="285" spans="1:21">
      <c r="A285" s="13">
        <v>45809</v>
      </c>
      <c r="B285" s="12">
        <v>123522325</v>
      </c>
      <c r="C285" s="12">
        <v>2000</v>
      </c>
      <c r="D285" s="12" t="s">
        <v>79</v>
      </c>
      <c r="E285" s="12" t="s">
        <v>50</v>
      </c>
      <c r="F285" s="12" t="s">
        <v>80</v>
      </c>
      <c r="G285" s="12" t="s">
        <v>81</v>
      </c>
      <c r="H285" s="12" t="s">
        <v>36</v>
      </c>
      <c r="I285" s="12" t="s">
        <v>45</v>
      </c>
      <c r="J285" s="12">
        <v>1.099</v>
      </c>
      <c r="K285" s="12" t="s">
        <v>82</v>
      </c>
      <c r="L285" s="12" t="s">
        <v>39</v>
      </c>
      <c r="M285" s="12" t="s">
        <v>40</v>
      </c>
      <c r="N285" s="12" t="s">
        <v>14</v>
      </c>
      <c r="O285" s="12" t="s">
        <v>6</v>
      </c>
      <c r="P285" s="12">
        <v>0</v>
      </c>
      <c r="Q285" s="12">
        <v>2</v>
      </c>
      <c r="R285" s="12" t="s">
        <v>11</v>
      </c>
      <c r="S285" s="12" t="s">
        <v>48</v>
      </c>
      <c r="T285" s="12" t="s">
        <v>48</v>
      </c>
      <c r="U285" s="12">
        <v>1152</v>
      </c>
    </row>
    <row r="286" spans="1:21">
      <c r="A286" s="13">
        <v>45809</v>
      </c>
      <c r="B286" s="12">
        <v>123716125</v>
      </c>
      <c r="C286" s="12">
        <v>1997</v>
      </c>
      <c r="D286" s="12" t="s">
        <v>83</v>
      </c>
      <c r="E286" s="12" t="s">
        <v>50</v>
      </c>
      <c r="F286" s="12" t="s">
        <v>86</v>
      </c>
      <c r="G286" s="12" t="s">
        <v>87</v>
      </c>
      <c r="H286" s="12" t="s">
        <v>58</v>
      </c>
      <c r="I286" s="12" t="s">
        <v>45</v>
      </c>
      <c r="J286" s="12">
        <v>1.149</v>
      </c>
      <c r="K286" s="12" t="s">
        <v>88</v>
      </c>
      <c r="L286" s="12" t="s">
        <v>39</v>
      </c>
      <c r="M286" s="12" t="s">
        <v>47</v>
      </c>
      <c r="N286" s="12" t="s">
        <v>14</v>
      </c>
      <c r="O286" s="12" t="s">
        <v>6</v>
      </c>
      <c r="P286" s="12">
        <v>0</v>
      </c>
      <c r="Q286" s="12">
        <v>1</v>
      </c>
      <c r="R286" s="12" t="s">
        <v>13</v>
      </c>
      <c r="S286" s="12" t="s">
        <v>48</v>
      </c>
      <c r="T286" s="12" t="s">
        <v>48</v>
      </c>
      <c r="U286" s="12">
        <v>836</v>
      </c>
    </row>
    <row r="287" spans="1:21">
      <c r="A287" s="13">
        <v>45992</v>
      </c>
      <c r="B287" s="12">
        <v>123776011</v>
      </c>
      <c r="C287" s="12">
        <v>2001</v>
      </c>
      <c r="D287" s="12" t="s">
        <v>61</v>
      </c>
      <c r="E287" s="12" t="s">
        <v>33</v>
      </c>
      <c r="F287" s="12" t="s">
        <v>43</v>
      </c>
      <c r="G287" s="12" t="s">
        <v>44</v>
      </c>
      <c r="H287" s="12" t="s">
        <v>36</v>
      </c>
      <c r="I287" s="12" t="s">
        <v>45</v>
      </c>
      <c r="J287" s="12">
        <v>1.181</v>
      </c>
      <c r="K287" s="12" t="s">
        <v>46</v>
      </c>
      <c r="L287" s="12" t="s">
        <v>84</v>
      </c>
      <c r="M287" s="12" t="s">
        <v>85</v>
      </c>
      <c r="N287" s="12" t="s">
        <v>14</v>
      </c>
      <c r="O287" s="12" t="s">
        <v>4</v>
      </c>
      <c r="P287" s="12">
        <v>1</v>
      </c>
      <c r="Q287" s="12">
        <v>1</v>
      </c>
      <c r="R287" s="12" t="s">
        <v>13</v>
      </c>
      <c r="S287" s="14">
        <v>0.807638888888889</v>
      </c>
      <c r="T287" s="12" t="s">
        <v>67</v>
      </c>
      <c r="U287" s="12">
        <v>4350</v>
      </c>
    </row>
    <row r="288" spans="1:21">
      <c r="A288" s="13">
        <v>45689</v>
      </c>
      <c r="B288" s="12">
        <v>123473613</v>
      </c>
      <c r="C288" s="12">
        <v>2003</v>
      </c>
      <c r="D288" s="12" t="s">
        <v>32</v>
      </c>
      <c r="E288" s="12" t="s">
        <v>50</v>
      </c>
      <c r="F288" s="12" t="s">
        <v>43</v>
      </c>
      <c r="G288" s="12" t="s">
        <v>44</v>
      </c>
      <c r="H288" s="12" t="s">
        <v>36</v>
      </c>
      <c r="I288" s="12" t="s">
        <v>45</v>
      </c>
      <c r="J288" s="12">
        <v>1.25</v>
      </c>
      <c r="K288" s="12" t="s">
        <v>46</v>
      </c>
      <c r="L288" s="12" t="s">
        <v>65</v>
      </c>
      <c r="M288" s="12" t="s">
        <v>66</v>
      </c>
      <c r="N288" s="12" t="s">
        <v>14</v>
      </c>
      <c r="O288" s="12" t="s">
        <v>4</v>
      </c>
      <c r="P288" s="12">
        <v>1</v>
      </c>
      <c r="Q288" s="12">
        <v>2</v>
      </c>
      <c r="R288" s="12" t="s">
        <v>13</v>
      </c>
      <c r="S288" s="14">
        <v>0.843055555555556</v>
      </c>
      <c r="T288" s="12" t="s">
        <v>67</v>
      </c>
      <c r="U288" s="12">
        <v>1885</v>
      </c>
    </row>
    <row r="289" spans="1:21">
      <c r="A289" s="13">
        <v>45839</v>
      </c>
      <c r="B289" s="12">
        <v>123829235</v>
      </c>
      <c r="C289" s="12">
        <v>2001</v>
      </c>
      <c r="D289" s="12" t="s">
        <v>97</v>
      </c>
      <c r="E289" s="12" t="s">
        <v>33</v>
      </c>
      <c r="F289" s="12" t="s">
        <v>75</v>
      </c>
      <c r="G289" s="12" t="s">
        <v>76</v>
      </c>
      <c r="H289" s="12" t="s">
        <v>53</v>
      </c>
      <c r="I289" s="12" t="s">
        <v>45</v>
      </c>
      <c r="J289" s="12">
        <v>1.083</v>
      </c>
      <c r="K289" s="12" t="s">
        <v>77</v>
      </c>
      <c r="L289" s="12" t="s">
        <v>84</v>
      </c>
      <c r="M289" s="12" t="s">
        <v>85</v>
      </c>
      <c r="N289" s="12" t="s">
        <v>14</v>
      </c>
      <c r="O289" s="12" t="s">
        <v>6</v>
      </c>
      <c r="P289" s="12">
        <v>0</v>
      </c>
      <c r="Q289" s="12">
        <v>2</v>
      </c>
      <c r="R289" s="12" t="s">
        <v>13</v>
      </c>
      <c r="S289" s="12" t="s">
        <v>48</v>
      </c>
      <c r="T289" s="12" t="s">
        <v>48</v>
      </c>
      <c r="U289" s="12">
        <v>1600</v>
      </c>
    </row>
    <row r="290" spans="1:21">
      <c r="A290" s="13">
        <v>45839</v>
      </c>
      <c r="B290" s="12">
        <v>123752212</v>
      </c>
      <c r="C290" s="12">
        <v>2004</v>
      </c>
      <c r="D290" s="12" t="s">
        <v>74</v>
      </c>
      <c r="E290" s="12" t="s">
        <v>33</v>
      </c>
      <c r="F290" s="12" t="s">
        <v>69</v>
      </c>
      <c r="G290" s="12" t="s">
        <v>70</v>
      </c>
      <c r="H290" s="12" t="s">
        <v>58</v>
      </c>
      <c r="I290" s="12" t="s">
        <v>45</v>
      </c>
      <c r="J290" s="12">
        <v>0.999</v>
      </c>
      <c r="K290" s="12" t="s">
        <v>71</v>
      </c>
      <c r="L290" s="12" t="s">
        <v>84</v>
      </c>
      <c r="M290" s="12" t="s">
        <v>89</v>
      </c>
      <c r="N290" s="12" t="s">
        <v>14</v>
      </c>
      <c r="O290" s="12" t="s">
        <v>6</v>
      </c>
      <c r="P290" s="12">
        <v>0</v>
      </c>
      <c r="Q290" s="12">
        <v>1</v>
      </c>
      <c r="R290" s="12" t="s">
        <v>13</v>
      </c>
      <c r="S290" s="12" t="s">
        <v>48</v>
      </c>
      <c r="T290" s="12" t="s">
        <v>48</v>
      </c>
      <c r="U290" s="12">
        <v>209</v>
      </c>
    </row>
    <row r="291" spans="1:21">
      <c r="A291" s="13">
        <v>45809</v>
      </c>
      <c r="B291" s="12">
        <v>123462692</v>
      </c>
      <c r="C291" s="12">
        <v>1990</v>
      </c>
      <c r="D291" s="12" t="s">
        <v>83</v>
      </c>
      <c r="E291" s="12" t="s">
        <v>50</v>
      </c>
      <c r="F291" s="12" t="s">
        <v>80</v>
      </c>
      <c r="G291" s="12" t="s">
        <v>81</v>
      </c>
      <c r="H291" s="12" t="s">
        <v>36</v>
      </c>
      <c r="I291" s="12" t="s">
        <v>45</v>
      </c>
      <c r="J291" s="12">
        <v>1.255</v>
      </c>
      <c r="K291" s="12" t="s">
        <v>82</v>
      </c>
      <c r="L291" s="12" t="s">
        <v>39</v>
      </c>
      <c r="M291" s="12" t="s">
        <v>78</v>
      </c>
      <c r="N291" s="12" t="s">
        <v>14</v>
      </c>
      <c r="O291" s="12" t="s">
        <v>5</v>
      </c>
      <c r="P291" s="12">
        <v>5</v>
      </c>
      <c r="Q291" s="12">
        <v>2</v>
      </c>
      <c r="R291" s="12" t="s">
        <v>13</v>
      </c>
      <c r="S291" s="14">
        <v>0.905555555555556</v>
      </c>
      <c r="T291" s="12" t="s">
        <v>67</v>
      </c>
      <c r="U291" s="12">
        <v>33201</v>
      </c>
    </row>
    <row r="292" spans="1:21">
      <c r="A292" s="13">
        <v>45931</v>
      </c>
      <c r="B292" s="12">
        <v>123508048</v>
      </c>
      <c r="C292" s="12">
        <v>1978</v>
      </c>
      <c r="D292" s="12" t="s">
        <v>49</v>
      </c>
      <c r="E292" s="12" t="s">
        <v>33</v>
      </c>
      <c r="F292" s="12" t="s">
        <v>56</v>
      </c>
      <c r="G292" s="12" t="s">
        <v>57</v>
      </c>
      <c r="H292" s="12" t="s">
        <v>58</v>
      </c>
      <c r="I292" s="12" t="s">
        <v>45</v>
      </c>
      <c r="J292" s="12">
        <v>1.071</v>
      </c>
      <c r="K292" s="12" t="s">
        <v>59</v>
      </c>
      <c r="L292" s="12" t="s">
        <v>65</v>
      </c>
      <c r="M292" s="12" t="s">
        <v>66</v>
      </c>
      <c r="N292" s="12" t="s">
        <v>14</v>
      </c>
      <c r="O292" s="12" t="s">
        <v>6</v>
      </c>
      <c r="P292" s="12">
        <v>0</v>
      </c>
      <c r="Q292" s="12">
        <v>2</v>
      </c>
      <c r="R292" s="12" t="s">
        <v>11</v>
      </c>
      <c r="S292" s="12" t="s">
        <v>48</v>
      </c>
      <c r="T292" s="12" t="s">
        <v>48</v>
      </c>
      <c r="U292" s="12">
        <v>1350</v>
      </c>
    </row>
    <row r="293" spans="1:21">
      <c r="A293" s="13">
        <v>45748</v>
      </c>
      <c r="B293" s="12">
        <v>123703148</v>
      </c>
      <c r="C293" s="12">
        <v>1988</v>
      </c>
      <c r="D293" s="12" t="s">
        <v>79</v>
      </c>
      <c r="E293" s="12" t="s">
        <v>50</v>
      </c>
      <c r="F293" s="12" t="s">
        <v>34</v>
      </c>
      <c r="G293" s="12" t="s">
        <v>35</v>
      </c>
      <c r="H293" s="12" t="s">
        <v>36</v>
      </c>
      <c r="I293" s="12" t="s">
        <v>45</v>
      </c>
      <c r="J293" s="12">
        <v>0.902</v>
      </c>
      <c r="K293" s="12" t="s">
        <v>38</v>
      </c>
      <c r="L293" s="12" t="s">
        <v>39</v>
      </c>
      <c r="M293" s="12" t="s">
        <v>78</v>
      </c>
      <c r="N293" s="12" t="s">
        <v>14</v>
      </c>
      <c r="O293" s="12" t="s">
        <v>6</v>
      </c>
      <c r="P293" s="12">
        <v>0</v>
      </c>
      <c r="Q293" s="12">
        <v>2</v>
      </c>
      <c r="R293" s="12" t="s">
        <v>11</v>
      </c>
      <c r="S293" s="12" t="s">
        <v>48</v>
      </c>
      <c r="T293" s="12" t="s">
        <v>48</v>
      </c>
      <c r="U293" s="12">
        <v>1373</v>
      </c>
    </row>
    <row r="294" spans="1:21">
      <c r="A294" s="13">
        <v>45992</v>
      </c>
      <c r="B294" s="12">
        <v>123849085</v>
      </c>
      <c r="C294" s="12">
        <v>1986</v>
      </c>
      <c r="D294" s="12" t="s">
        <v>90</v>
      </c>
      <c r="E294" s="12" t="s">
        <v>50</v>
      </c>
      <c r="F294" s="12" t="s">
        <v>43</v>
      </c>
      <c r="G294" s="12" t="s">
        <v>44</v>
      </c>
      <c r="H294" s="12" t="s">
        <v>36</v>
      </c>
      <c r="I294" s="12" t="s">
        <v>45</v>
      </c>
      <c r="J294" s="12">
        <v>0.927</v>
      </c>
      <c r="K294" s="12" t="s">
        <v>46</v>
      </c>
      <c r="L294" s="12" t="s">
        <v>39</v>
      </c>
      <c r="M294" s="12" t="s">
        <v>78</v>
      </c>
      <c r="N294" s="12" t="s">
        <v>14</v>
      </c>
      <c r="O294" s="12" t="s">
        <v>6</v>
      </c>
      <c r="P294" s="12">
        <v>0</v>
      </c>
      <c r="Q294" s="12">
        <v>1</v>
      </c>
      <c r="R294" s="12" t="s">
        <v>13</v>
      </c>
      <c r="S294" s="12" t="s">
        <v>48</v>
      </c>
      <c r="T294" s="12" t="s">
        <v>48</v>
      </c>
      <c r="U294" s="12">
        <v>576</v>
      </c>
    </row>
    <row r="295" spans="1:21">
      <c r="A295" s="13">
        <v>45748</v>
      </c>
      <c r="B295" s="12">
        <v>123905016</v>
      </c>
      <c r="C295" s="12">
        <v>1968</v>
      </c>
      <c r="D295" s="12" t="s">
        <v>83</v>
      </c>
      <c r="E295" s="12" t="s">
        <v>33</v>
      </c>
      <c r="F295" s="12" t="s">
        <v>51</v>
      </c>
      <c r="G295" s="12" t="s">
        <v>52</v>
      </c>
      <c r="H295" s="12" t="s">
        <v>53</v>
      </c>
      <c r="I295" s="12" t="s">
        <v>45</v>
      </c>
      <c r="J295" s="12">
        <v>1.049</v>
      </c>
      <c r="K295" s="12" t="s">
        <v>54</v>
      </c>
      <c r="L295" s="12" t="s">
        <v>39</v>
      </c>
      <c r="M295" s="12" t="s">
        <v>47</v>
      </c>
      <c r="N295" s="12" t="s">
        <v>14</v>
      </c>
      <c r="O295" s="12" t="s">
        <v>6</v>
      </c>
      <c r="P295" s="12">
        <v>0</v>
      </c>
      <c r="Q295" s="12">
        <v>2</v>
      </c>
      <c r="R295" s="12" t="s">
        <v>11</v>
      </c>
      <c r="S295" s="12" t="s">
        <v>48</v>
      </c>
      <c r="T295" s="12" t="s">
        <v>48</v>
      </c>
      <c r="U295" s="12">
        <v>144</v>
      </c>
    </row>
    <row r="296" spans="1:21">
      <c r="A296" s="13">
        <v>45839</v>
      </c>
      <c r="B296" s="12">
        <v>123690627</v>
      </c>
      <c r="C296" s="12">
        <v>1956</v>
      </c>
      <c r="D296" s="12" t="s">
        <v>83</v>
      </c>
      <c r="E296" s="12" t="s">
        <v>33</v>
      </c>
      <c r="F296" s="12" t="s">
        <v>56</v>
      </c>
      <c r="G296" s="12" t="s">
        <v>57</v>
      </c>
      <c r="H296" s="12" t="s">
        <v>58</v>
      </c>
      <c r="I296" s="12" t="s">
        <v>45</v>
      </c>
      <c r="J296" s="12">
        <v>0.942</v>
      </c>
      <c r="K296" s="12" t="s">
        <v>59</v>
      </c>
      <c r="L296" s="12" t="s">
        <v>84</v>
      </c>
      <c r="M296" s="12" t="s">
        <v>89</v>
      </c>
      <c r="N296" s="12" t="s">
        <v>14</v>
      </c>
      <c r="O296" s="12" t="s">
        <v>6</v>
      </c>
      <c r="P296" s="12">
        <v>0</v>
      </c>
      <c r="Q296" s="12">
        <v>1</v>
      </c>
      <c r="R296" s="12" t="s">
        <v>11</v>
      </c>
      <c r="S296" s="12" t="s">
        <v>48</v>
      </c>
      <c r="T296" s="12" t="s">
        <v>48</v>
      </c>
      <c r="U296" s="12">
        <v>539</v>
      </c>
    </row>
    <row r="297" spans="1:21">
      <c r="A297" s="13">
        <v>45839</v>
      </c>
      <c r="B297" s="12">
        <v>123616675</v>
      </c>
      <c r="C297" s="12">
        <v>2000</v>
      </c>
      <c r="D297" s="12" t="s">
        <v>61</v>
      </c>
      <c r="E297" s="12" t="s">
        <v>50</v>
      </c>
      <c r="F297" s="12" t="s">
        <v>91</v>
      </c>
      <c r="G297" s="12" t="s">
        <v>92</v>
      </c>
      <c r="H297" s="12" t="s">
        <v>58</v>
      </c>
      <c r="I297" s="12" t="s">
        <v>37</v>
      </c>
      <c r="J297" s="12">
        <v>1.047</v>
      </c>
      <c r="K297" s="12" t="s">
        <v>93</v>
      </c>
      <c r="L297" s="12" t="s">
        <v>39</v>
      </c>
      <c r="M297" s="12" t="s">
        <v>78</v>
      </c>
      <c r="N297" s="12" t="s">
        <v>14</v>
      </c>
      <c r="O297" s="12" t="s">
        <v>5</v>
      </c>
      <c r="P297" s="12">
        <v>3</v>
      </c>
      <c r="Q297" s="12">
        <v>2</v>
      </c>
      <c r="R297" s="12" t="s">
        <v>11</v>
      </c>
      <c r="S297" s="14">
        <v>0.646527777777778</v>
      </c>
      <c r="T297" s="12" t="s">
        <v>67</v>
      </c>
      <c r="U297" s="12">
        <v>60717</v>
      </c>
    </row>
    <row r="298" spans="1:21">
      <c r="A298" s="13">
        <v>45962</v>
      </c>
      <c r="B298" s="12">
        <v>123982759</v>
      </c>
      <c r="C298" s="12">
        <v>1976</v>
      </c>
      <c r="D298" s="12" t="s">
        <v>79</v>
      </c>
      <c r="E298" s="12" t="s">
        <v>50</v>
      </c>
      <c r="F298" s="12" t="s">
        <v>91</v>
      </c>
      <c r="G298" s="12" t="s">
        <v>92</v>
      </c>
      <c r="H298" s="12" t="s">
        <v>58</v>
      </c>
      <c r="I298" s="12" t="s">
        <v>45</v>
      </c>
      <c r="J298" s="12">
        <v>1.227</v>
      </c>
      <c r="K298" s="12" t="s">
        <v>93</v>
      </c>
      <c r="L298" s="12" t="s">
        <v>84</v>
      </c>
      <c r="M298" s="12" t="s">
        <v>85</v>
      </c>
      <c r="N298" s="12" t="s">
        <v>14</v>
      </c>
      <c r="O298" s="12" t="s">
        <v>5</v>
      </c>
      <c r="P298" s="12">
        <v>3</v>
      </c>
      <c r="Q298" s="12">
        <v>2</v>
      </c>
      <c r="R298" s="12" t="s">
        <v>13</v>
      </c>
      <c r="S298" s="14">
        <v>0.722916666666667</v>
      </c>
      <c r="T298" s="12" t="s">
        <v>67</v>
      </c>
      <c r="U298" s="12">
        <v>44659</v>
      </c>
    </row>
    <row r="299" spans="1:21">
      <c r="A299" s="13">
        <v>45809</v>
      </c>
      <c r="B299" s="12">
        <v>123705449</v>
      </c>
      <c r="C299" s="12">
        <v>1969</v>
      </c>
      <c r="D299" s="12" t="s">
        <v>61</v>
      </c>
      <c r="E299" s="12" t="s">
        <v>50</v>
      </c>
      <c r="F299" s="12" t="s">
        <v>80</v>
      </c>
      <c r="G299" s="12" t="s">
        <v>81</v>
      </c>
      <c r="H299" s="12" t="s">
        <v>36</v>
      </c>
      <c r="I299" s="12" t="s">
        <v>45</v>
      </c>
      <c r="J299" s="12">
        <v>1.196</v>
      </c>
      <c r="K299" s="12" t="s">
        <v>82</v>
      </c>
      <c r="L299" s="12" t="s">
        <v>39</v>
      </c>
      <c r="M299" s="12" t="s">
        <v>78</v>
      </c>
      <c r="N299" s="12" t="s">
        <v>14</v>
      </c>
      <c r="O299" s="12" t="s">
        <v>5</v>
      </c>
      <c r="P299" s="12">
        <v>3</v>
      </c>
      <c r="Q299" s="12">
        <v>2</v>
      </c>
      <c r="R299" s="12" t="s">
        <v>13</v>
      </c>
      <c r="S299" s="14">
        <v>0.894444444444444</v>
      </c>
      <c r="T299" s="12" t="s">
        <v>67</v>
      </c>
      <c r="U299" s="12">
        <v>67213</v>
      </c>
    </row>
    <row r="300" spans="1:21">
      <c r="A300" s="13">
        <v>45748</v>
      </c>
      <c r="B300" s="12">
        <v>123627571</v>
      </c>
      <c r="C300" s="12">
        <v>1985</v>
      </c>
      <c r="D300" s="12" t="s">
        <v>61</v>
      </c>
      <c r="E300" s="12" t="s">
        <v>50</v>
      </c>
      <c r="F300" s="12" t="s">
        <v>43</v>
      </c>
      <c r="G300" s="12" t="s">
        <v>44</v>
      </c>
      <c r="H300" s="12" t="s">
        <v>36</v>
      </c>
      <c r="I300" s="12" t="s">
        <v>45</v>
      </c>
      <c r="J300" s="12">
        <v>1.163</v>
      </c>
      <c r="K300" s="12" t="s">
        <v>46</v>
      </c>
      <c r="L300" s="12" t="s">
        <v>72</v>
      </c>
      <c r="M300" s="12" t="s">
        <v>73</v>
      </c>
      <c r="N300" s="12" t="s">
        <v>14</v>
      </c>
      <c r="O300" s="12" t="s">
        <v>6</v>
      </c>
      <c r="P300" s="12">
        <v>0</v>
      </c>
      <c r="Q300" s="12">
        <v>1</v>
      </c>
      <c r="R300" s="12" t="s">
        <v>13</v>
      </c>
      <c r="S300" s="12" t="s">
        <v>48</v>
      </c>
      <c r="T300" s="12" t="s">
        <v>48</v>
      </c>
      <c r="U300" s="12">
        <v>1768</v>
      </c>
    </row>
    <row r="301" spans="1:21">
      <c r="A301" s="13">
        <v>45658</v>
      </c>
      <c r="B301" s="12">
        <v>123696618</v>
      </c>
      <c r="C301" s="12">
        <v>2003</v>
      </c>
      <c r="D301" s="12" t="s">
        <v>79</v>
      </c>
      <c r="E301" s="12" t="s">
        <v>33</v>
      </c>
      <c r="F301" s="12" t="s">
        <v>43</v>
      </c>
      <c r="G301" s="12" t="s">
        <v>44</v>
      </c>
      <c r="H301" s="12" t="s">
        <v>36</v>
      </c>
      <c r="I301" s="12" t="s">
        <v>45</v>
      </c>
      <c r="J301" s="12">
        <v>0.917</v>
      </c>
      <c r="K301" s="12" t="s">
        <v>46</v>
      </c>
      <c r="L301" s="12" t="s">
        <v>72</v>
      </c>
      <c r="M301" s="12" t="s">
        <v>73</v>
      </c>
      <c r="N301" s="12" t="s">
        <v>14</v>
      </c>
      <c r="O301" s="12" t="s">
        <v>6</v>
      </c>
      <c r="P301" s="12">
        <v>0</v>
      </c>
      <c r="Q301" s="12">
        <v>3</v>
      </c>
      <c r="R301" s="12" t="s">
        <v>13</v>
      </c>
      <c r="S301" s="12" t="s">
        <v>48</v>
      </c>
      <c r="T301" s="12" t="s">
        <v>48</v>
      </c>
      <c r="U301" s="12">
        <v>2805</v>
      </c>
    </row>
    <row r="302" spans="1:21">
      <c r="A302" s="13">
        <v>45778</v>
      </c>
      <c r="B302" s="12">
        <v>123462577</v>
      </c>
      <c r="C302" s="12">
        <v>1986</v>
      </c>
      <c r="D302" s="12" t="s">
        <v>49</v>
      </c>
      <c r="E302" s="12" t="s">
        <v>33</v>
      </c>
      <c r="F302" s="12" t="s">
        <v>51</v>
      </c>
      <c r="G302" s="12" t="s">
        <v>52</v>
      </c>
      <c r="H302" s="12" t="s">
        <v>53</v>
      </c>
      <c r="I302" s="12" t="s">
        <v>37</v>
      </c>
      <c r="J302" s="12">
        <v>1.055</v>
      </c>
      <c r="K302" s="12" t="s">
        <v>54</v>
      </c>
      <c r="L302" s="12" t="s">
        <v>39</v>
      </c>
      <c r="M302" s="12" t="s">
        <v>47</v>
      </c>
      <c r="N302" s="12" t="s">
        <v>14</v>
      </c>
      <c r="O302" s="12" t="s">
        <v>6</v>
      </c>
      <c r="P302" s="12">
        <v>0</v>
      </c>
      <c r="Q302" s="12">
        <v>1</v>
      </c>
      <c r="R302" s="12" t="s">
        <v>13</v>
      </c>
      <c r="S302" s="12" t="s">
        <v>48</v>
      </c>
      <c r="T302" s="12" t="s">
        <v>48</v>
      </c>
      <c r="U302" s="12">
        <v>1296</v>
      </c>
    </row>
    <row r="303" spans="1:21">
      <c r="A303" s="13">
        <v>45931</v>
      </c>
      <c r="B303" s="12">
        <v>123620248</v>
      </c>
      <c r="C303" s="12">
        <v>1983</v>
      </c>
      <c r="D303" s="12" t="s">
        <v>79</v>
      </c>
      <c r="E303" s="12" t="s">
        <v>33</v>
      </c>
      <c r="F303" s="12" t="s">
        <v>75</v>
      </c>
      <c r="G303" s="12" t="s">
        <v>76</v>
      </c>
      <c r="H303" s="12" t="s">
        <v>53</v>
      </c>
      <c r="I303" s="12" t="s">
        <v>45</v>
      </c>
      <c r="J303" s="12">
        <v>1.069</v>
      </c>
      <c r="K303" s="12" t="s">
        <v>77</v>
      </c>
      <c r="L303" s="12" t="s">
        <v>72</v>
      </c>
      <c r="M303" s="12" t="s">
        <v>73</v>
      </c>
      <c r="N303" s="12" t="s">
        <v>14</v>
      </c>
      <c r="O303" s="12" t="s">
        <v>6</v>
      </c>
      <c r="P303" s="12">
        <v>0</v>
      </c>
      <c r="Q303" s="12">
        <v>2</v>
      </c>
      <c r="R303" s="12" t="s">
        <v>11</v>
      </c>
      <c r="S303" s="14">
        <v>0.365277777777778</v>
      </c>
      <c r="T303" s="12" t="s">
        <v>41</v>
      </c>
      <c r="U303" s="12">
        <v>561</v>
      </c>
    </row>
    <row r="304" spans="1:21">
      <c r="A304" s="13">
        <v>45658</v>
      </c>
      <c r="B304" s="12">
        <v>123736461</v>
      </c>
      <c r="C304" s="12">
        <v>1994</v>
      </c>
      <c r="D304" s="12" t="s">
        <v>94</v>
      </c>
      <c r="E304" s="12" t="s">
        <v>50</v>
      </c>
      <c r="F304" s="12" t="s">
        <v>34</v>
      </c>
      <c r="G304" s="12" t="s">
        <v>35</v>
      </c>
      <c r="H304" s="12" t="s">
        <v>36</v>
      </c>
      <c r="I304" s="12" t="s">
        <v>45</v>
      </c>
      <c r="J304" s="12">
        <v>0.887</v>
      </c>
      <c r="K304" s="12" t="s">
        <v>38</v>
      </c>
      <c r="L304" s="12" t="s">
        <v>84</v>
      </c>
      <c r="M304" s="12" t="s">
        <v>85</v>
      </c>
      <c r="N304" s="12" t="s">
        <v>14</v>
      </c>
      <c r="O304" s="12" t="s">
        <v>6</v>
      </c>
      <c r="P304" s="12">
        <v>0</v>
      </c>
      <c r="Q304" s="12">
        <v>3</v>
      </c>
      <c r="R304" s="12" t="s">
        <v>11</v>
      </c>
      <c r="S304" s="12" t="s">
        <v>48</v>
      </c>
      <c r="T304" s="12" t="s">
        <v>48</v>
      </c>
      <c r="U304" s="12">
        <v>833</v>
      </c>
    </row>
    <row r="305" spans="1:21">
      <c r="A305" s="13">
        <v>45962</v>
      </c>
      <c r="B305" s="12">
        <v>123955631</v>
      </c>
      <c r="C305" s="12">
        <v>2002</v>
      </c>
      <c r="D305" s="12" t="s">
        <v>68</v>
      </c>
      <c r="E305" s="12" t="s">
        <v>33</v>
      </c>
      <c r="F305" s="12" t="s">
        <v>91</v>
      </c>
      <c r="G305" s="12" t="s">
        <v>92</v>
      </c>
      <c r="H305" s="12" t="s">
        <v>58</v>
      </c>
      <c r="I305" s="12" t="s">
        <v>37</v>
      </c>
      <c r="J305" s="12">
        <v>1.005</v>
      </c>
      <c r="K305" s="12" t="s">
        <v>93</v>
      </c>
      <c r="L305" s="12" t="s">
        <v>72</v>
      </c>
      <c r="M305" s="12" t="s">
        <v>95</v>
      </c>
      <c r="N305" s="12" t="s">
        <v>14</v>
      </c>
      <c r="O305" s="12" t="s">
        <v>6</v>
      </c>
      <c r="P305" s="12">
        <v>0</v>
      </c>
      <c r="Q305" s="12">
        <v>2</v>
      </c>
      <c r="R305" s="12" t="s">
        <v>13</v>
      </c>
      <c r="S305" s="12" t="s">
        <v>48</v>
      </c>
      <c r="T305" s="12" t="s">
        <v>48</v>
      </c>
      <c r="U305" s="12">
        <v>1869</v>
      </c>
    </row>
    <row r="306" spans="1:21">
      <c r="A306" s="13">
        <v>45839</v>
      </c>
      <c r="B306" s="12">
        <v>123857594</v>
      </c>
      <c r="C306" s="12">
        <v>1959</v>
      </c>
      <c r="D306" s="12" t="s">
        <v>42</v>
      </c>
      <c r="E306" s="12" t="s">
        <v>33</v>
      </c>
      <c r="F306" s="12" t="s">
        <v>34</v>
      </c>
      <c r="G306" s="12" t="s">
        <v>35</v>
      </c>
      <c r="H306" s="12" t="s">
        <v>36</v>
      </c>
      <c r="I306" s="12" t="s">
        <v>45</v>
      </c>
      <c r="J306" s="12">
        <v>0.956</v>
      </c>
      <c r="K306" s="12" t="s">
        <v>38</v>
      </c>
      <c r="L306" s="12" t="s">
        <v>39</v>
      </c>
      <c r="M306" s="12" t="s">
        <v>47</v>
      </c>
      <c r="N306" s="12" t="s">
        <v>14</v>
      </c>
      <c r="O306" s="12" t="s">
        <v>6</v>
      </c>
      <c r="P306" s="12">
        <v>0</v>
      </c>
      <c r="Q306" s="12">
        <v>3</v>
      </c>
      <c r="R306" s="12" t="s">
        <v>11</v>
      </c>
      <c r="S306" s="12" t="s">
        <v>48</v>
      </c>
      <c r="T306" s="12" t="s">
        <v>48</v>
      </c>
      <c r="U306" s="12">
        <v>2166</v>
      </c>
    </row>
    <row r="307" spans="1:21">
      <c r="A307" s="13">
        <v>45689</v>
      </c>
      <c r="B307" s="12">
        <v>123881023</v>
      </c>
      <c r="C307" s="12">
        <v>1979</v>
      </c>
      <c r="D307" s="12" t="s">
        <v>83</v>
      </c>
      <c r="E307" s="12" t="s">
        <v>33</v>
      </c>
      <c r="F307" s="12" t="s">
        <v>62</v>
      </c>
      <c r="G307" s="12" t="s">
        <v>63</v>
      </c>
      <c r="H307" s="12" t="s">
        <v>58</v>
      </c>
      <c r="I307" s="12" t="s">
        <v>45</v>
      </c>
      <c r="J307" s="12">
        <v>1.072</v>
      </c>
      <c r="K307" s="12" t="s">
        <v>64</v>
      </c>
      <c r="L307" s="12" t="s">
        <v>84</v>
      </c>
      <c r="M307" s="12" t="s">
        <v>89</v>
      </c>
      <c r="N307" s="12" t="s">
        <v>14</v>
      </c>
      <c r="O307" s="12" t="s">
        <v>6</v>
      </c>
      <c r="P307" s="12">
        <v>0</v>
      </c>
      <c r="Q307" s="12">
        <v>2</v>
      </c>
      <c r="R307" s="12" t="s">
        <v>13</v>
      </c>
      <c r="S307" s="12" t="s">
        <v>48</v>
      </c>
      <c r="T307" s="12" t="s">
        <v>48</v>
      </c>
      <c r="U307" s="12">
        <v>1313</v>
      </c>
    </row>
    <row r="308" spans="1:21">
      <c r="A308" s="13">
        <v>45748</v>
      </c>
      <c r="B308" s="12">
        <v>123752425</v>
      </c>
      <c r="C308" s="12">
        <v>1988</v>
      </c>
      <c r="D308" s="12" t="s">
        <v>68</v>
      </c>
      <c r="E308" s="12" t="s">
        <v>50</v>
      </c>
      <c r="F308" s="12" t="s">
        <v>62</v>
      </c>
      <c r="G308" s="12" t="s">
        <v>63</v>
      </c>
      <c r="H308" s="12" t="s">
        <v>58</v>
      </c>
      <c r="I308" s="12" t="s">
        <v>45</v>
      </c>
      <c r="J308" s="12">
        <v>1.213</v>
      </c>
      <c r="K308" s="12" t="s">
        <v>64</v>
      </c>
      <c r="L308" s="12" t="s">
        <v>39</v>
      </c>
      <c r="M308" s="12" t="s">
        <v>40</v>
      </c>
      <c r="N308" s="12" t="s">
        <v>14</v>
      </c>
      <c r="O308" s="12" t="s">
        <v>5</v>
      </c>
      <c r="P308" s="12">
        <v>4</v>
      </c>
      <c r="Q308" s="12">
        <v>2</v>
      </c>
      <c r="R308" s="12" t="s">
        <v>11</v>
      </c>
      <c r="S308" s="14">
        <v>0.427777777777778</v>
      </c>
      <c r="T308" s="12" t="s">
        <v>41</v>
      </c>
      <c r="U308" s="12">
        <v>22859</v>
      </c>
    </row>
    <row r="309" spans="1:21">
      <c r="A309" s="13">
        <v>45839</v>
      </c>
      <c r="B309" s="12">
        <v>123516159</v>
      </c>
      <c r="C309" s="12">
        <v>1962</v>
      </c>
      <c r="D309" s="12" t="s">
        <v>42</v>
      </c>
      <c r="E309" s="12" t="s">
        <v>50</v>
      </c>
      <c r="F309" s="12" t="s">
        <v>43</v>
      </c>
      <c r="G309" s="12" t="s">
        <v>44</v>
      </c>
      <c r="H309" s="12" t="s">
        <v>36</v>
      </c>
      <c r="I309" s="12" t="s">
        <v>45</v>
      </c>
      <c r="J309" s="12">
        <v>1.252</v>
      </c>
      <c r="K309" s="12" t="s">
        <v>46</v>
      </c>
      <c r="L309" s="12" t="s">
        <v>39</v>
      </c>
      <c r="M309" s="12" t="s">
        <v>47</v>
      </c>
      <c r="N309" s="12" t="s">
        <v>14</v>
      </c>
      <c r="O309" s="12" t="s">
        <v>5</v>
      </c>
      <c r="P309" s="12">
        <v>4</v>
      </c>
      <c r="Q309" s="12">
        <v>2</v>
      </c>
      <c r="R309" s="12" t="s">
        <v>11</v>
      </c>
      <c r="S309" s="14">
        <v>0.838888888888889</v>
      </c>
      <c r="T309" s="12" t="s">
        <v>67</v>
      </c>
      <c r="U309" s="12">
        <v>68195</v>
      </c>
    </row>
    <row r="310" spans="1:21">
      <c r="A310" s="13">
        <v>45748</v>
      </c>
      <c r="B310" s="12">
        <v>123668663</v>
      </c>
      <c r="C310" s="12">
        <v>1988</v>
      </c>
      <c r="D310" s="12" t="s">
        <v>90</v>
      </c>
      <c r="E310" s="12" t="s">
        <v>50</v>
      </c>
      <c r="F310" s="12" t="s">
        <v>86</v>
      </c>
      <c r="G310" s="12" t="s">
        <v>87</v>
      </c>
      <c r="H310" s="12" t="s">
        <v>58</v>
      </c>
      <c r="I310" s="12" t="s">
        <v>45</v>
      </c>
      <c r="J310" s="12">
        <v>0.989</v>
      </c>
      <c r="K310" s="12" t="s">
        <v>88</v>
      </c>
      <c r="L310" s="12" t="s">
        <v>39</v>
      </c>
      <c r="M310" s="12" t="s">
        <v>78</v>
      </c>
      <c r="N310" s="12" t="s">
        <v>14</v>
      </c>
      <c r="O310" s="12" t="s">
        <v>4</v>
      </c>
      <c r="P310" s="12">
        <v>1</v>
      </c>
      <c r="Q310" s="12">
        <v>2</v>
      </c>
      <c r="R310" s="12" t="s">
        <v>13</v>
      </c>
      <c r="S310" s="14">
        <v>0.486805555555556</v>
      </c>
      <c r="T310" s="12" t="s">
        <v>41</v>
      </c>
      <c r="U310" s="12">
        <v>7921</v>
      </c>
    </row>
    <row r="311" spans="1:21">
      <c r="A311" s="13">
        <v>45689</v>
      </c>
      <c r="B311" s="12">
        <v>123998385</v>
      </c>
      <c r="C311" s="12">
        <v>1993</v>
      </c>
      <c r="D311" s="12" t="s">
        <v>32</v>
      </c>
      <c r="E311" s="12" t="s">
        <v>50</v>
      </c>
      <c r="F311" s="12" t="s">
        <v>86</v>
      </c>
      <c r="G311" s="12" t="s">
        <v>87</v>
      </c>
      <c r="H311" s="12" t="s">
        <v>58</v>
      </c>
      <c r="I311" s="12" t="s">
        <v>45</v>
      </c>
      <c r="J311" s="12">
        <v>1.063</v>
      </c>
      <c r="K311" s="12" t="s">
        <v>88</v>
      </c>
      <c r="L311" s="12" t="s">
        <v>72</v>
      </c>
      <c r="M311" s="12" t="s">
        <v>73</v>
      </c>
      <c r="N311" s="12" t="s">
        <v>14</v>
      </c>
      <c r="O311" s="12" t="s">
        <v>5</v>
      </c>
      <c r="P311" s="12">
        <v>5</v>
      </c>
      <c r="Q311" s="12">
        <v>1</v>
      </c>
      <c r="R311" s="12" t="s">
        <v>11</v>
      </c>
      <c r="S311" s="14">
        <v>0.535416666666667</v>
      </c>
      <c r="T311" s="12" t="s">
        <v>67</v>
      </c>
      <c r="U311" s="12">
        <v>64050</v>
      </c>
    </row>
    <row r="312" spans="1:21">
      <c r="A312" s="13">
        <v>45870</v>
      </c>
      <c r="B312" s="12">
        <v>123480028</v>
      </c>
      <c r="C312" s="12">
        <v>1967</v>
      </c>
      <c r="D312" s="12" t="s">
        <v>49</v>
      </c>
      <c r="E312" s="12" t="s">
        <v>50</v>
      </c>
      <c r="F312" s="12" t="s">
        <v>34</v>
      </c>
      <c r="G312" s="12" t="s">
        <v>35</v>
      </c>
      <c r="H312" s="12" t="s">
        <v>36</v>
      </c>
      <c r="I312" s="12" t="s">
        <v>37</v>
      </c>
      <c r="J312" s="12">
        <v>1.056</v>
      </c>
      <c r="K312" s="12" t="s">
        <v>38</v>
      </c>
      <c r="L312" s="12" t="s">
        <v>39</v>
      </c>
      <c r="M312" s="12" t="s">
        <v>78</v>
      </c>
      <c r="N312" s="12" t="s">
        <v>14</v>
      </c>
      <c r="O312" s="12" t="s">
        <v>6</v>
      </c>
      <c r="P312" s="12">
        <v>0</v>
      </c>
      <c r="Q312" s="12">
        <v>2</v>
      </c>
      <c r="R312" s="12" t="s">
        <v>11</v>
      </c>
      <c r="S312" s="12" t="s">
        <v>48</v>
      </c>
      <c r="T312" s="12" t="s">
        <v>48</v>
      </c>
      <c r="U312" s="12">
        <v>128</v>
      </c>
    </row>
    <row r="313" spans="1:21">
      <c r="A313" s="13">
        <v>45901</v>
      </c>
      <c r="B313" s="12">
        <v>123934283</v>
      </c>
      <c r="C313" s="12">
        <v>1962</v>
      </c>
      <c r="D313" s="12" t="s">
        <v>61</v>
      </c>
      <c r="E313" s="12" t="s">
        <v>50</v>
      </c>
      <c r="F313" s="12" t="s">
        <v>56</v>
      </c>
      <c r="G313" s="12" t="s">
        <v>57</v>
      </c>
      <c r="H313" s="12" t="s">
        <v>58</v>
      </c>
      <c r="I313" s="12" t="s">
        <v>37</v>
      </c>
      <c r="J313" s="12">
        <v>0.999</v>
      </c>
      <c r="K313" s="12" t="s">
        <v>59</v>
      </c>
      <c r="L313" s="12" t="s">
        <v>84</v>
      </c>
      <c r="M313" s="12" t="s">
        <v>85</v>
      </c>
      <c r="N313" s="12" t="s">
        <v>14</v>
      </c>
      <c r="O313" s="12" t="s">
        <v>6</v>
      </c>
      <c r="P313" s="12">
        <v>0</v>
      </c>
      <c r="Q313" s="12">
        <v>1</v>
      </c>
      <c r="R313" s="12" t="s">
        <v>11</v>
      </c>
      <c r="S313" s="14">
        <v>0.727777777777778</v>
      </c>
      <c r="T313" s="12" t="s">
        <v>67</v>
      </c>
      <c r="U313" s="12">
        <v>1103</v>
      </c>
    </row>
    <row r="314" spans="1:21">
      <c r="A314" s="13">
        <v>45689</v>
      </c>
      <c r="B314" s="12">
        <v>123828364</v>
      </c>
      <c r="C314" s="12">
        <v>1993</v>
      </c>
      <c r="D314" s="12" t="s">
        <v>83</v>
      </c>
      <c r="E314" s="12" t="s">
        <v>33</v>
      </c>
      <c r="F314" s="12" t="s">
        <v>43</v>
      </c>
      <c r="G314" s="12" t="s">
        <v>44</v>
      </c>
      <c r="H314" s="12" t="s">
        <v>36</v>
      </c>
      <c r="I314" s="12" t="s">
        <v>45</v>
      </c>
      <c r="J314" s="12">
        <v>1.08</v>
      </c>
      <c r="K314" s="12" t="s">
        <v>46</v>
      </c>
      <c r="L314" s="12" t="s">
        <v>39</v>
      </c>
      <c r="M314" s="12" t="s">
        <v>40</v>
      </c>
      <c r="N314" s="12" t="s">
        <v>14</v>
      </c>
      <c r="O314" s="12" t="s">
        <v>6</v>
      </c>
      <c r="P314" s="12">
        <v>0</v>
      </c>
      <c r="Q314" s="12">
        <v>3</v>
      </c>
      <c r="R314" s="12" t="s">
        <v>11</v>
      </c>
      <c r="S314" s="12" t="s">
        <v>48</v>
      </c>
      <c r="T314" s="12" t="s">
        <v>48</v>
      </c>
      <c r="U314" s="12">
        <v>1521</v>
      </c>
    </row>
    <row r="315" spans="1:21">
      <c r="A315" s="13">
        <v>45748</v>
      </c>
      <c r="B315" s="12">
        <v>123610445</v>
      </c>
      <c r="C315" s="12">
        <v>1981</v>
      </c>
      <c r="D315" s="12" t="s">
        <v>74</v>
      </c>
      <c r="E315" s="12" t="s">
        <v>50</v>
      </c>
      <c r="F315" s="12" t="s">
        <v>34</v>
      </c>
      <c r="G315" s="12" t="s">
        <v>35</v>
      </c>
      <c r="H315" s="12" t="s">
        <v>36</v>
      </c>
      <c r="I315" s="12" t="s">
        <v>45</v>
      </c>
      <c r="J315" s="12">
        <v>0.99</v>
      </c>
      <c r="K315" s="12" t="s">
        <v>38</v>
      </c>
      <c r="L315" s="12" t="s">
        <v>65</v>
      </c>
      <c r="M315" s="12" t="s">
        <v>66</v>
      </c>
      <c r="N315" s="12" t="s">
        <v>14</v>
      </c>
      <c r="O315" s="12" t="s">
        <v>6</v>
      </c>
      <c r="P315" s="12">
        <v>0</v>
      </c>
      <c r="Q315" s="12">
        <v>1</v>
      </c>
      <c r="R315" s="12" t="s">
        <v>11</v>
      </c>
      <c r="S315" s="12" t="s">
        <v>48</v>
      </c>
      <c r="T315" s="12" t="s">
        <v>48</v>
      </c>
      <c r="U315" s="12">
        <v>1329</v>
      </c>
    </row>
    <row r="316" spans="1:21">
      <c r="A316" s="13">
        <v>45717</v>
      </c>
      <c r="B316" s="12">
        <v>123879225</v>
      </c>
      <c r="C316" s="12">
        <v>1959</v>
      </c>
      <c r="D316" s="12" t="s">
        <v>83</v>
      </c>
      <c r="E316" s="12" t="s">
        <v>33</v>
      </c>
      <c r="F316" s="12" t="s">
        <v>34</v>
      </c>
      <c r="G316" s="12" t="s">
        <v>35</v>
      </c>
      <c r="H316" s="12" t="s">
        <v>36</v>
      </c>
      <c r="I316" s="12" t="s">
        <v>45</v>
      </c>
      <c r="J316" s="12">
        <v>1.199</v>
      </c>
      <c r="K316" s="12" t="s">
        <v>38</v>
      </c>
      <c r="L316" s="12" t="s">
        <v>39</v>
      </c>
      <c r="M316" s="12" t="s">
        <v>78</v>
      </c>
      <c r="N316" s="12" t="s">
        <v>14</v>
      </c>
      <c r="O316" s="12" t="s">
        <v>6</v>
      </c>
      <c r="P316" s="12">
        <v>0</v>
      </c>
      <c r="Q316" s="12">
        <v>1</v>
      </c>
      <c r="R316" s="12" t="s">
        <v>13</v>
      </c>
      <c r="S316" s="12" t="s">
        <v>48</v>
      </c>
      <c r="T316" s="12" t="s">
        <v>48</v>
      </c>
      <c r="U316" s="12">
        <v>648</v>
      </c>
    </row>
    <row r="317" spans="1:21">
      <c r="A317" s="13">
        <v>45870</v>
      </c>
      <c r="B317" s="12">
        <v>123911270</v>
      </c>
      <c r="C317" s="12">
        <v>1980</v>
      </c>
      <c r="D317" s="12" t="s">
        <v>83</v>
      </c>
      <c r="E317" s="12" t="s">
        <v>50</v>
      </c>
      <c r="F317" s="12" t="s">
        <v>91</v>
      </c>
      <c r="G317" s="12" t="s">
        <v>92</v>
      </c>
      <c r="H317" s="12" t="s">
        <v>58</v>
      </c>
      <c r="I317" s="12" t="s">
        <v>45</v>
      </c>
      <c r="J317" s="12">
        <v>1.22</v>
      </c>
      <c r="K317" s="12" t="s">
        <v>93</v>
      </c>
      <c r="L317" s="12" t="s">
        <v>84</v>
      </c>
      <c r="M317" s="12" t="s">
        <v>85</v>
      </c>
      <c r="N317" s="12" t="s">
        <v>14</v>
      </c>
      <c r="O317" s="12" t="s">
        <v>6</v>
      </c>
      <c r="P317" s="12">
        <v>0</v>
      </c>
      <c r="Q317" s="12">
        <v>3</v>
      </c>
      <c r="R317" s="12" t="s">
        <v>13</v>
      </c>
      <c r="S317" s="12" t="s">
        <v>48</v>
      </c>
      <c r="T317" s="12" t="s">
        <v>48</v>
      </c>
      <c r="U317" s="12">
        <v>1816</v>
      </c>
    </row>
    <row r="318" spans="1:21">
      <c r="A318" s="13">
        <v>45901</v>
      </c>
      <c r="B318" s="12">
        <v>123479511</v>
      </c>
      <c r="C318" s="12">
        <v>1982</v>
      </c>
      <c r="D318" s="12" t="s">
        <v>74</v>
      </c>
      <c r="E318" s="12" t="s">
        <v>33</v>
      </c>
      <c r="F318" s="12" t="s">
        <v>62</v>
      </c>
      <c r="G318" s="12" t="s">
        <v>63</v>
      </c>
      <c r="H318" s="12" t="s">
        <v>58</v>
      </c>
      <c r="I318" s="12" t="s">
        <v>45</v>
      </c>
      <c r="J318" s="12">
        <v>0.854</v>
      </c>
      <c r="K318" s="12" t="s">
        <v>64</v>
      </c>
      <c r="L318" s="12" t="s">
        <v>65</v>
      </c>
      <c r="M318" s="12" t="s">
        <v>96</v>
      </c>
      <c r="N318" s="12" t="s">
        <v>14</v>
      </c>
      <c r="O318" s="12" t="s">
        <v>6</v>
      </c>
      <c r="P318" s="12">
        <v>0</v>
      </c>
      <c r="Q318" s="12">
        <v>1</v>
      </c>
      <c r="R318" s="12" t="s">
        <v>11</v>
      </c>
      <c r="S318" s="12" t="s">
        <v>48</v>
      </c>
      <c r="T318" s="12" t="s">
        <v>48</v>
      </c>
      <c r="U318" s="12">
        <v>1128</v>
      </c>
    </row>
    <row r="319" spans="1:21">
      <c r="A319" s="13">
        <v>45901</v>
      </c>
      <c r="B319" s="12">
        <v>123513892</v>
      </c>
      <c r="C319" s="12">
        <v>1991</v>
      </c>
      <c r="D319" s="12" t="s">
        <v>97</v>
      </c>
      <c r="E319" s="12" t="s">
        <v>50</v>
      </c>
      <c r="F319" s="12" t="s">
        <v>91</v>
      </c>
      <c r="G319" s="12" t="s">
        <v>92</v>
      </c>
      <c r="H319" s="12" t="s">
        <v>58</v>
      </c>
      <c r="I319" s="12" t="s">
        <v>45</v>
      </c>
      <c r="J319" s="12">
        <v>1.15</v>
      </c>
      <c r="K319" s="12" t="s">
        <v>93</v>
      </c>
      <c r="L319" s="12" t="s">
        <v>39</v>
      </c>
      <c r="M319" s="12" t="s">
        <v>78</v>
      </c>
      <c r="N319" s="12" t="s">
        <v>14</v>
      </c>
      <c r="O319" s="12" t="s">
        <v>6</v>
      </c>
      <c r="P319" s="12">
        <v>0</v>
      </c>
      <c r="Q319" s="12">
        <v>2</v>
      </c>
      <c r="R319" s="12" t="s">
        <v>13</v>
      </c>
      <c r="S319" s="14">
        <v>0.271527777777778</v>
      </c>
      <c r="T319" s="12" t="s">
        <v>41</v>
      </c>
      <c r="U319" s="12">
        <v>385</v>
      </c>
    </row>
    <row r="320" spans="1:21">
      <c r="A320" s="13">
        <v>45992</v>
      </c>
      <c r="B320" s="12">
        <v>123818167</v>
      </c>
      <c r="C320" s="12">
        <v>2002</v>
      </c>
      <c r="D320" s="12" t="s">
        <v>68</v>
      </c>
      <c r="E320" s="12" t="s">
        <v>50</v>
      </c>
      <c r="F320" s="12" t="s">
        <v>80</v>
      </c>
      <c r="G320" s="12" t="s">
        <v>81</v>
      </c>
      <c r="H320" s="12" t="s">
        <v>36</v>
      </c>
      <c r="I320" s="12" t="s">
        <v>45</v>
      </c>
      <c r="J320" s="12">
        <v>1.139</v>
      </c>
      <c r="K320" s="12" t="s">
        <v>82</v>
      </c>
      <c r="L320" s="12" t="s">
        <v>39</v>
      </c>
      <c r="M320" s="12" t="s">
        <v>40</v>
      </c>
      <c r="N320" s="12" t="s">
        <v>14</v>
      </c>
      <c r="O320" s="12" t="s">
        <v>5</v>
      </c>
      <c r="P320" s="12">
        <v>6</v>
      </c>
      <c r="Q320" s="12">
        <v>2</v>
      </c>
      <c r="R320" s="12" t="s">
        <v>11</v>
      </c>
      <c r="S320" s="14">
        <v>0.568055555555556</v>
      </c>
      <c r="T320" s="12" t="s">
        <v>67</v>
      </c>
      <c r="U320" s="12">
        <v>36248</v>
      </c>
    </row>
    <row r="321" spans="1:21">
      <c r="A321" s="13">
        <v>45931</v>
      </c>
      <c r="B321" s="12">
        <v>123999511</v>
      </c>
      <c r="C321" s="12">
        <v>1972</v>
      </c>
      <c r="D321" s="12" t="s">
        <v>32</v>
      </c>
      <c r="E321" s="12" t="s">
        <v>33</v>
      </c>
      <c r="F321" s="12" t="s">
        <v>69</v>
      </c>
      <c r="G321" s="12" t="s">
        <v>70</v>
      </c>
      <c r="H321" s="12" t="s">
        <v>58</v>
      </c>
      <c r="I321" s="12" t="s">
        <v>45</v>
      </c>
      <c r="J321" s="12">
        <v>1.041</v>
      </c>
      <c r="K321" s="12" t="s">
        <v>71</v>
      </c>
      <c r="L321" s="12" t="s">
        <v>72</v>
      </c>
      <c r="M321" s="12" t="s">
        <v>73</v>
      </c>
      <c r="N321" s="12" t="s">
        <v>14</v>
      </c>
      <c r="O321" s="12" t="s">
        <v>5</v>
      </c>
      <c r="P321" s="12">
        <v>3</v>
      </c>
      <c r="Q321" s="12">
        <v>1</v>
      </c>
      <c r="R321" s="12" t="s">
        <v>11</v>
      </c>
      <c r="S321" s="12" t="s">
        <v>48</v>
      </c>
      <c r="T321" s="12" t="s">
        <v>48</v>
      </c>
      <c r="U321" s="12">
        <v>10293</v>
      </c>
    </row>
    <row r="322" spans="1:21">
      <c r="A322" s="13">
        <v>45748</v>
      </c>
      <c r="B322" s="12">
        <v>123469037</v>
      </c>
      <c r="C322" s="12">
        <v>1968</v>
      </c>
      <c r="D322" s="12" t="s">
        <v>61</v>
      </c>
      <c r="E322" s="12" t="s">
        <v>33</v>
      </c>
      <c r="F322" s="12" t="s">
        <v>62</v>
      </c>
      <c r="G322" s="12" t="s">
        <v>63</v>
      </c>
      <c r="H322" s="12" t="s">
        <v>58</v>
      </c>
      <c r="I322" s="12" t="s">
        <v>45</v>
      </c>
      <c r="J322" s="12">
        <v>1.123</v>
      </c>
      <c r="K322" s="12" t="s">
        <v>64</v>
      </c>
      <c r="L322" s="12" t="s">
        <v>99</v>
      </c>
      <c r="M322" s="12" t="s">
        <v>48</v>
      </c>
      <c r="N322" s="12" t="s">
        <v>12</v>
      </c>
      <c r="O322" s="12" t="s">
        <v>5</v>
      </c>
      <c r="P322" s="12">
        <v>5</v>
      </c>
      <c r="Q322" s="12">
        <v>1</v>
      </c>
      <c r="R322" s="12" t="s">
        <v>11</v>
      </c>
      <c r="S322" s="14">
        <v>0.441666666666667</v>
      </c>
      <c r="T322" s="12" t="s">
        <v>41</v>
      </c>
      <c r="U322" s="12">
        <v>48786</v>
      </c>
    </row>
    <row r="323" spans="1:21">
      <c r="A323" s="13">
        <v>45689</v>
      </c>
      <c r="B323" s="12">
        <v>123818131</v>
      </c>
      <c r="C323" s="12">
        <v>1980</v>
      </c>
      <c r="D323" s="12" t="s">
        <v>61</v>
      </c>
      <c r="E323" s="12" t="s">
        <v>50</v>
      </c>
      <c r="F323" s="12" t="s">
        <v>43</v>
      </c>
      <c r="G323" s="12" t="s">
        <v>44</v>
      </c>
      <c r="H323" s="12" t="s">
        <v>36</v>
      </c>
      <c r="I323" s="12" t="s">
        <v>45</v>
      </c>
      <c r="J323" s="12">
        <v>1.139</v>
      </c>
      <c r="K323" s="12" t="s">
        <v>46</v>
      </c>
      <c r="L323" s="12" t="s">
        <v>99</v>
      </c>
      <c r="M323" s="12" t="s">
        <v>48</v>
      </c>
      <c r="N323" s="12" t="s">
        <v>12</v>
      </c>
      <c r="O323" s="12" t="s">
        <v>5</v>
      </c>
      <c r="P323" s="12">
        <v>4</v>
      </c>
      <c r="Q323" s="12">
        <v>2</v>
      </c>
      <c r="R323" s="12" t="s">
        <v>13</v>
      </c>
      <c r="S323" s="14">
        <v>0.441666666666667</v>
      </c>
      <c r="T323" s="12" t="s">
        <v>41</v>
      </c>
      <c r="U323" s="12">
        <v>105149</v>
      </c>
    </row>
    <row r="324" spans="1:21">
      <c r="A324" s="13">
        <v>45870</v>
      </c>
      <c r="B324" s="12">
        <v>123530269</v>
      </c>
      <c r="C324" s="12">
        <v>1958</v>
      </c>
      <c r="D324" s="12" t="s">
        <v>42</v>
      </c>
      <c r="E324" s="12" t="s">
        <v>50</v>
      </c>
      <c r="F324" s="12" t="s">
        <v>34</v>
      </c>
      <c r="G324" s="12" t="s">
        <v>35</v>
      </c>
      <c r="H324" s="12" t="s">
        <v>36</v>
      </c>
      <c r="I324" s="12" t="s">
        <v>45</v>
      </c>
      <c r="J324" s="12">
        <v>0.98</v>
      </c>
      <c r="K324" s="12" t="s">
        <v>38</v>
      </c>
      <c r="L324" s="12" t="s">
        <v>39</v>
      </c>
      <c r="M324" s="12" t="s">
        <v>40</v>
      </c>
      <c r="N324" s="12" t="s">
        <v>14</v>
      </c>
      <c r="O324" s="12" t="s">
        <v>6</v>
      </c>
      <c r="P324" s="12">
        <v>0</v>
      </c>
      <c r="Q324" s="12">
        <v>1</v>
      </c>
      <c r="R324" s="12" t="s">
        <v>11</v>
      </c>
      <c r="S324" s="12" t="s">
        <v>48</v>
      </c>
      <c r="T324" s="12" t="s">
        <v>48</v>
      </c>
      <c r="U324" s="12">
        <v>2056</v>
      </c>
    </row>
    <row r="325" spans="1:21">
      <c r="A325" s="13">
        <v>45962</v>
      </c>
      <c r="B325" s="12">
        <v>123809667</v>
      </c>
      <c r="C325" s="12">
        <v>1996</v>
      </c>
      <c r="D325" s="12" t="s">
        <v>61</v>
      </c>
      <c r="E325" s="12" t="s">
        <v>33</v>
      </c>
      <c r="F325" s="12" t="s">
        <v>51</v>
      </c>
      <c r="G325" s="12" t="s">
        <v>52</v>
      </c>
      <c r="H325" s="12" t="s">
        <v>53</v>
      </c>
      <c r="I325" s="12" t="s">
        <v>37</v>
      </c>
      <c r="J325" s="12">
        <v>1.042</v>
      </c>
      <c r="K325" s="12" t="s">
        <v>54</v>
      </c>
      <c r="L325" s="12" t="s">
        <v>65</v>
      </c>
      <c r="M325" s="12" t="s">
        <v>96</v>
      </c>
      <c r="N325" s="12" t="s">
        <v>14</v>
      </c>
      <c r="O325" s="12" t="s">
        <v>6</v>
      </c>
      <c r="P325" s="12">
        <v>0</v>
      </c>
      <c r="Q325" s="12">
        <v>1</v>
      </c>
      <c r="R325" s="12" t="s">
        <v>13</v>
      </c>
      <c r="S325" s="12" t="s">
        <v>48</v>
      </c>
      <c r="T325" s="12" t="s">
        <v>48</v>
      </c>
      <c r="U325" s="12">
        <v>747</v>
      </c>
    </row>
    <row r="326" spans="1:21">
      <c r="A326" s="13">
        <v>45992</v>
      </c>
      <c r="B326" s="12">
        <v>123795082</v>
      </c>
      <c r="C326" s="12">
        <v>1999</v>
      </c>
      <c r="D326" s="12" t="s">
        <v>83</v>
      </c>
      <c r="E326" s="12" t="s">
        <v>33</v>
      </c>
      <c r="F326" s="12" t="s">
        <v>51</v>
      </c>
      <c r="G326" s="12" t="s">
        <v>52</v>
      </c>
      <c r="H326" s="12" t="s">
        <v>53</v>
      </c>
      <c r="I326" s="12" t="s">
        <v>45</v>
      </c>
      <c r="J326" s="12">
        <v>0.878</v>
      </c>
      <c r="K326" s="12" t="s">
        <v>54</v>
      </c>
      <c r="L326" s="12" t="s">
        <v>39</v>
      </c>
      <c r="M326" s="12" t="s">
        <v>40</v>
      </c>
      <c r="N326" s="12" t="s">
        <v>14</v>
      </c>
      <c r="O326" s="12" t="s">
        <v>5</v>
      </c>
      <c r="P326" s="12">
        <v>3</v>
      </c>
      <c r="Q326" s="12">
        <v>1</v>
      </c>
      <c r="R326" s="12" t="s">
        <v>13</v>
      </c>
      <c r="S326" s="14">
        <v>0.895833333333333</v>
      </c>
      <c r="T326" s="12" t="s">
        <v>67</v>
      </c>
      <c r="U326" s="12">
        <v>11895</v>
      </c>
    </row>
    <row r="327" spans="1:21">
      <c r="A327" s="13">
        <v>45717</v>
      </c>
      <c r="B327" s="12">
        <v>123505199</v>
      </c>
      <c r="C327" s="12">
        <v>1976</v>
      </c>
      <c r="D327" s="12" t="s">
        <v>49</v>
      </c>
      <c r="E327" s="12" t="s">
        <v>50</v>
      </c>
      <c r="F327" s="12" t="s">
        <v>43</v>
      </c>
      <c r="G327" s="12" t="s">
        <v>44</v>
      </c>
      <c r="H327" s="12" t="s">
        <v>36</v>
      </c>
      <c r="I327" s="12" t="s">
        <v>37</v>
      </c>
      <c r="J327" s="12">
        <v>1.062</v>
      </c>
      <c r="K327" s="12" t="s">
        <v>46</v>
      </c>
      <c r="L327" s="12" t="s">
        <v>39</v>
      </c>
      <c r="M327" s="12" t="s">
        <v>40</v>
      </c>
      <c r="N327" s="12" t="s">
        <v>14</v>
      </c>
      <c r="O327" s="12" t="s">
        <v>6</v>
      </c>
      <c r="P327" s="12">
        <v>0</v>
      </c>
      <c r="Q327" s="12">
        <v>2</v>
      </c>
      <c r="R327" s="12" t="s">
        <v>13</v>
      </c>
      <c r="S327" s="12" t="s">
        <v>48</v>
      </c>
      <c r="T327" s="12" t="s">
        <v>48</v>
      </c>
      <c r="U327" s="12">
        <v>466</v>
      </c>
    </row>
    <row r="328" spans="1:21">
      <c r="A328" s="13">
        <v>45717</v>
      </c>
      <c r="B328" s="12">
        <v>123826315</v>
      </c>
      <c r="C328" s="12">
        <v>1988</v>
      </c>
      <c r="D328" s="12" t="s">
        <v>83</v>
      </c>
      <c r="E328" s="12" t="s">
        <v>50</v>
      </c>
      <c r="F328" s="12" t="s">
        <v>80</v>
      </c>
      <c r="G328" s="12" t="s">
        <v>81</v>
      </c>
      <c r="H328" s="12" t="s">
        <v>36</v>
      </c>
      <c r="I328" s="12" t="s">
        <v>45</v>
      </c>
      <c r="J328" s="12">
        <v>0.893</v>
      </c>
      <c r="K328" s="12" t="s">
        <v>82</v>
      </c>
      <c r="L328" s="12" t="s">
        <v>84</v>
      </c>
      <c r="M328" s="12" t="s">
        <v>89</v>
      </c>
      <c r="N328" s="12" t="s">
        <v>14</v>
      </c>
      <c r="O328" s="12" t="s">
        <v>6</v>
      </c>
      <c r="P328" s="12">
        <v>0</v>
      </c>
      <c r="Q328" s="12">
        <v>1</v>
      </c>
      <c r="R328" s="12" t="s">
        <v>11</v>
      </c>
      <c r="S328" s="12" t="s">
        <v>48</v>
      </c>
      <c r="T328" s="12" t="s">
        <v>48</v>
      </c>
      <c r="U328" s="12">
        <v>440</v>
      </c>
    </row>
    <row r="329" spans="1:21">
      <c r="A329" s="13">
        <v>45658</v>
      </c>
      <c r="B329" s="12">
        <v>123943985</v>
      </c>
      <c r="C329" s="12">
        <v>1978</v>
      </c>
      <c r="D329" s="12" t="s">
        <v>74</v>
      </c>
      <c r="E329" s="12" t="s">
        <v>50</v>
      </c>
      <c r="F329" s="12" t="s">
        <v>86</v>
      </c>
      <c r="G329" s="12" t="s">
        <v>87</v>
      </c>
      <c r="H329" s="12" t="s">
        <v>58</v>
      </c>
      <c r="I329" s="12" t="s">
        <v>37</v>
      </c>
      <c r="J329" s="12">
        <v>0.841</v>
      </c>
      <c r="K329" s="12" t="s">
        <v>88</v>
      </c>
      <c r="L329" s="12" t="s">
        <v>72</v>
      </c>
      <c r="M329" s="12" t="s">
        <v>73</v>
      </c>
      <c r="N329" s="12" t="s">
        <v>14</v>
      </c>
      <c r="O329" s="12" t="s">
        <v>6</v>
      </c>
      <c r="P329" s="12">
        <v>0</v>
      </c>
      <c r="Q329" s="12">
        <v>1</v>
      </c>
      <c r="R329" s="12" t="s">
        <v>11</v>
      </c>
      <c r="S329" s="12" t="s">
        <v>48</v>
      </c>
      <c r="T329" s="12" t="s">
        <v>48</v>
      </c>
      <c r="U329" s="12">
        <v>546</v>
      </c>
    </row>
    <row r="330" spans="1:21">
      <c r="A330" s="13">
        <v>45689</v>
      </c>
      <c r="B330" s="12">
        <v>123925712</v>
      </c>
      <c r="C330" s="12">
        <v>1980</v>
      </c>
      <c r="D330" s="12" t="s">
        <v>100</v>
      </c>
      <c r="E330" s="12" t="s">
        <v>33</v>
      </c>
      <c r="F330" s="12" t="s">
        <v>56</v>
      </c>
      <c r="G330" s="12" t="s">
        <v>57</v>
      </c>
      <c r="H330" s="12" t="s">
        <v>58</v>
      </c>
      <c r="I330" s="12" t="s">
        <v>45</v>
      </c>
      <c r="J330" s="12">
        <v>1.213</v>
      </c>
      <c r="K330" s="12" t="s">
        <v>59</v>
      </c>
      <c r="L330" s="12" t="s">
        <v>72</v>
      </c>
      <c r="M330" s="12" t="s">
        <v>95</v>
      </c>
      <c r="N330" s="12" t="s">
        <v>14</v>
      </c>
      <c r="O330" s="12" t="s">
        <v>4</v>
      </c>
      <c r="P330" s="12">
        <v>1</v>
      </c>
      <c r="Q330" s="12">
        <v>2</v>
      </c>
      <c r="R330" s="12" t="s">
        <v>13</v>
      </c>
      <c r="S330" s="14">
        <v>0.616666666666667</v>
      </c>
      <c r="T330" s="12" t="s">
        <v>67</v>
      </c>
      <c r="U330" s="12">
        <v>6837</v>
      </c>
    </row>
    <row r="331" spans="1:21">
      <c r="A331" s="13">
        <v>45839</v>
      </c>
      <c r="B331" s="12">
        <v>123471775</v>
      </c>
      <c r="C331" s="12">
        <v>1958</v>
      </c>
      <c r="D331" s="12" t="s">
        <v>68</v>
      </c>
      <c r="E331" s="12" t="s">
        <v>50</v>
      </c>
      <c r="F331" s="12" t="s">
        <v>43</v>
      </c>
      <c r="G331" s="12" t="s">
        <v>44</v>
      </c>
      <c r="H331" s="12" t="s">
        <v>36</v>
      </c>
      <c r="I331" s="12" t="s">
        <v>45</v>
      </c>
      <c r="J331" s="12">
        <v>1.1</v>
      </c>
      <c r="K331" s="12" t="s">
        <v>46</v>
      </c>
      <c r="L331" s="12" t="s">
        <v>65</v>
      </c>
      <c r="M331" s="12" t="s">
        <v>66</v>
      </c>
      <c r="N331" s="12" t="s">
        <v>14</v>
      </c>
      <c r="O331" s="12" t="s">
        <v>5</v>
      </c>
      <c r="P331" s="12">
        <v>6</v>
      </c>
      <c r="Q331" s="12">
        <v>2</v>
      </c>
      <c r="R331" s="12" t="s">
        <v>11</v>
      </c>
      <c r="S331" s="14">
        <v>0.343055555555556</v>
      </c>
      <c r="T331" s="12" t="s">
        <v>41</v>
      </c>
      <c r="U331" s="12">
        <v>40832</v>
      </c>
    </row>
    <row r="332" spans="1:21">
      <c r="A332" s="13">
        <v>45839</v>
      </c>
      <c r="B332" s="12">
        <v>123589778</v>
      </c>
      <c r="C332" s="12">
        <v>1981</v>
      </c>
      <c r="D332" s="12" t="s">
        <v>100</v>
      </c>
      <c r="E332" s="12" t="s">
        <v>50</v>
      </c>
      <c r="F332" s="12" t="s">
        <v>86</v>
      </c>
      <c r="G332" s="12" t="s">
        <v>87</v>
      </c>
      <c r="H332" s="12" t="s">
        <v>58</v>
      </c>
      <c r="I332" s="12" t="s">
        <v>37</v>
      </c>
      <c r="J332" s="12">
        <v>1.027</v>
      </c>
      <c r="K332" s="12" t="s">
        <v>88</v>
      </c>
      <c r="L332" s="12" t="s">
        <v>39</v>
      </c>
      <c r="M332" s="12" t="s">
        <v>40</v>
      </c>
      <c r="N332" s="12" t="s">
        <v>14</v>
      </c>
      <c r="O332" s="12" t="s">
        <v>6</v>
      </c>
      <c r="P332" s="12">
        <v>0</v>
      </c>
      <c r="Q332" s="12">
        <v>1</v>
      </c>
      <c r="R332" s="12" t="s">
        <v>13</v>
      </c>
      <c r="S332" s="14">
        <v>0.295138888888889</v>
      </c>
      <c r="T332" s="12" t="s">
        <v>41</v>
      </c>
      <c r="U332" s="12">
        <v>371</v>
      </c>
    </row>
    <row r="333" spans="1:21">
      <c r="A333" s="13">
        <v>45778</v>
      </c>
      <c r="B333" s="12">
        <v>123587010</v>
      </c>
      <c r="C333" s="12">
        <v>2002</v>
      </c>
      <c r="D333" s="12" t="s">
        <v>83</v>
      </c>
      <c r="E333" s="12" t="s">
        <v>33</v>
      </c>
      <c r="F333" s="12" t="s">
        <v>80</v>
      </c>
      <c r="G333" s="12" t="s">
        <v>81</v>
      </c>
      <c r="H333" s="12" t="s">
        <v>36</v>
      </c>
      <c r="I333" s="12" t="s">
        <v>45</v>
      </c>
      <c r="J333" s="12">
        <v>0.954</v>
      </c>
      <c r="K333" s="12" t="s">
        <v>82</v>
      </c>
      <c r="L333" s="12" t="s">
        <v>84</v>
      </c>
      <c r="M333" s="12" t="s">
        <v>85</v>
      </c>
      <c r="N333" s="12" t="s">
        <v>14</v>
      </c>
      <c r="O333" s="12" t="s">
        <v>5</v>
      </c>
      <c r="P333" s="12">
        <v>2</v>
      </c>
      <c r="Q333" s="12">
        <v>1</v>
      </c>
      <c r="R333" s="12" t="s">
        <v>11</v>
      </c>
      <c r="S333" s="14">
        <v>0.411111111111111</v>
      </c>
      <c r="T333" s="12" t="s">
        <v>41</v>
      </c>
      <c r="U333" s="12">
        <v>102497</v>
      </c>
    </row>
    <row r="334" spans="1:21">
      <c r="A334" s="13">
        <v>45748</v>
      </c>
      <c r="B334" s="12">
        <v>123702590</v>
      </c>
      <c r="C334" s="12">
        <v>1986</v>
      </c>
      <c r="D334" s="12" t="s">
        <v>97</v>
      </c>
      <c r="E334" s="12" t="s">
        <v>50</v>
      </c>
      <c r="F334" s="12" t="s">
        <v>80</v>
      </c>
      <c r="G334" s="12" t="s">
        <v>81</v>
      </c>
      <c r="H334" s="12" t="s">
        <v>36</v>
      </c>
      <c r="I334" s="12" t="s">
        <v>45</v>
      </c>
      <c r="J334" s="12">
        <v>1.14</v>
      </c>
      <c r="K334" s="12" t="s">
        <v>82</v>
      </c>
      <c r="L334" s="12" t="s">
        <v>39</v>
      </c>
      <c r="M334" s="12" t="s">
        <v>40</v>
      </c>
      <c r="N334" s="12" t="s">
        <v>14</v>
      </c>
      <c r="O334" s="12" t="s">
        <v>6</v>
      </c>
      <c r="P334" s="12">
        <v>0</v>
      </c>
      <c r="Q334" s="12">
        <v>3</v>
      </c>
      <c r="R334" s="12" t="s">
        <v>13</v>
      </c>
      <c r="S334" s="12" t="s">
        <v>48</v>
      </c>
      <c r="T334" s="12" t="s">
        <v>48</v>
      </c>
      <c r="U334" s="12">
        <v>744</v>
      </c>
    </row>
    <row r="335" spans="1:21">
      <c r="A335" s="13">
        <v>45931</v>
      </c>
      <c r="B335" s="12">
        <v>123533803</v>
      </c>
      <c r="C335" s="12">
        <v>2001</v>
      </c>
      <c r="D335" s="12" t="s">
        <v>61</v>
      </c>
      <c r="E335" s="12" t="s">
        <v>50</v>
      </c>
      <c r="F335" s="12" t="s">
        <v>56</v>
      </c>
      <c r="G335" s="12" t="s">
        <v>57</v>
      </c>
      <c r="H335" s="12" t="s">
        <v>58</v>
      </c>
      <c r="I335" s="12" t="s">
        <v>45</v>
      </c>
      <c r="J335" s="12">
        <v>1.099</v>
      </c>
      <c r="K335" s="12" t="s">
        <v>59</v>
      </c>
      <c r="L335" s="12" t="s">
        <v>39</v>
      </c>
      <c r="M335" s="12" t="s">
        <v>40</v>
      </c>
      <c r="N335" s="12" t="s">
        <v>14</v>
      </c>
      <c r="O335" s="12" t="s">
        <v>6</v>
      </c>
      <c r="P335" s="12">
        <v>0</v>
      </c>
      <c r="Q335" s="12">
        <v>2</v>
      </c>
      <c r="R335" s="12" t="s">
        <v>11</v>
      </c>
      <c r="S335" s="14">
        <v>0.855555555555556</v>
      </c>
      <c r="T335" s="12" t="s">
        <v>67</v>
      </c>
      <c r="U335" s="12">
        <v>1072</v>
      </c>
    </row>
    <row r="336" spans="1:21">
      <c r="A336" s="13">
        <v>45809</v>
      </c>
      <c r="B336" s="12">
        <v>123920763</v>
      </c>
      <c r="C336" s="12">
        <v>1994</v>
      </c>
      <c r="D336" s="12" t="s">
        <v>42</v>
      </c>
      <c r="E336" s="12" t="s">
        <v>50</v>
      </c>
      <c r="F336" s="12" t="s">
        <v>43</v>
      </c>
      <c r="G336" s="12" t="s">
        <v>44</v>
      </c>
      <c r="H336" s="12" t="s">
        <v>36</v>
      </c>
      <c r="I336" s="12" t="s">
        <v>45</v>
      </c>
      <c r="J336" s="12">
        <v>0.917</v>
      </c>
      <c r="K336" s="12" t="s">
        <v>46</v>
      </c>
      <c r="L336" s="12" t="s">
        <v>39</v>
      </c>
      <c r="M336" s="12" t="s">
        <v>78</v>
      </c>
      <c r="N336" s="12" t="s">
        <v>14</v>
      </c>
      <c r="O336" s="12" t="s">
        <v>6</v>
      </c>
      <c r="P336" s="12">
        <v>0</v>
      </c>
      <c r="Q336" s="12">
        <v>2</v>
      </c>
      <c r="R336" s="12" t="s">
        <v>11</v>
      </c>
      <c r="S336" s="12" t="s">
        <v>48</v>
      </c>
      <c r="T336" s="12" t="s">
        <v>48</v>
      </c>
      <c r="U336" s="12">
        <v>2276</v>
      </c>
    </row>
    <row r="337" spans="1:21">
      <c r="A337" s="13">
        <v>45931</v>
      </c>
      <c r="B337" s="12">
        <v>123878560</v>
      </c>
      <c r="C337" s="12">
        <v>1994</v>
      </c>
      <c r="D337" s="12" t="s">
        <v>79</v>
      </c>
      <c r="E337" s="12" t="s">
        <v>50</v>
      </c>
      <c r="F337" s="12" t="s">
        <v>43</v>
      </c>
      <c r="G337" s="12" t="s">
        <v>44</v>
      </c>
      <c r="H337" s="12" t="s">
        <v>36</v>
      </c>
      <c r="I337" s="12" t="s">
        <v>45</v>
      </c>
      <c r="J337" s="12">
        <v>1</v>
      </c>
      <c r="K337" s="12" t="s">
        <v>46</v>
      </c>
      <c r="L337" s="12" t="s">
        <v>99</v>
      </c>
      <c r="M337" s="12" t="s">
        <v>48</v>
      </c>
      <c r="N337" s="12" t="s">
        <v>12</v>
      </c>
      <c r="O337" s="12" t="s">
        <v>6</v>
      </c>
      <c r="P337" s="12">
        <v>0</v>
      </c>
      <c r="Q337" s="12">
        <v>2</v>
      </c>
      <c r="R337" s="12" t="s">
        <v>11</v>
      </c>
      <c r="S337" s="12" t="s">
        <v>48</v>
      </c>
      <c r="T337" s="12" t="s">
        <v>48</v>
      </c>
      <c r="U337" s="12">
        <v>1575</v>
      </c>
    </row>
    <row r="338" spans="1:21">
      <c r="A338" s="13">
        <v>45992</v>
      </c>
      <c r="B338" s="12">
        <v>123895741</v>
      </c>
      <c r="C338" s="12">
        <v>1991</v>
      </c>
      <c r="D338" s="12" t="s">
        <v>32</v>
      </c>
      <c r="E338" s="12" t="s">
        <v>50</v>
      </c>
      <c r="F338" s="12" t="s">
        <v>43</v>
      </c>
      <c r="G338" s="12" t="s">
        <v>44</v>
      </c>
      <c r="H338" s="12" t="s">
        <v>36</v>
      </c>
      <c r="I338" s="12" t="s">
        <v>45</v>
      </c>
      <c r="J338" s="12">
        <v>1.167</v>
      </c>
      <c r="K338" s="12" t="s">
        <v>46</v>
      </c>
      <c r="L338" s="12" t="s">
        <v>72</v>
      </c>
      <c r="M338" s="12" t="s">
        <v>73</v>
      </c>
      <c r="N338" s="12" t="s">
        <v>14</v>
      </c>
      <c r="O338" s="12" t="s">
        <v>5</v>
      </c>
      <c r="P338" s="12">
        <v>5</v>
      </c>
      <c r="Q338" s="12">
        <v>1</v>
      </c>
      <c r="R338" s="12" t="s">
        <v>13</v>
      </c>
      <c r="S338" s="14">
        <v>0.349305555555556</v>
      </c>
      <c r="T338" s="12" t="s">
        <v>41</v>
      </c>
      <c r="U338" s="12">
        <v>11167</v>
      </c>
    </row>
    <row r="339" spans="1:21">
      <c r="A339" s="13">
        <v>45748</v>
      </c>
      <c r="B339" s="12">
        <v>123563822</v>
      </c>
      <c r="C339" s="12">
        <v>2001</v>
      </c>
      <c r="D339" s="12" t="s">
        <v>83</v>
      </c>
      <c r="E339" s="12" t="s">
        <v>50</v>
      </c>
      <c r="F339" s="12" t="s">
        <v>62</v>
      </c>
      <c r="G339" s="12" t="s">
        <v>63</v>
      </c>
      <c r="H339" s="12" t="s">
        <v>58</v>
      </c>
      <c r="I339" s="12" t="s">
        <v>37</v>
      </c>
      <c r="J339" s="12">
        <v>0.846</v>
      </c>
      <c r="K339" s="12" t="s">
        <v>64</v>
      </c>
      <c r="L339" s="12" t="s">
        <v>39</v>
      </c>
      <c r="M339" s="12" t="s">
        <v>47</v>
      </c>
      <c r="N339" s="12" t="s">
        <v>14</v>
      </c>
      <c r="O339" s="12" t="s">
        <v>6</v>
      </c>
      <c r="P339" s="12">
        <v>0</v>
      </c>
      <c r="Q339" s="12">
        <v>3</v>
      </c>
      <c r="R339" s="12" t="s">
        <v>11</v>
      </c>
      <c r="S339" s="12" t="s">
        <v>48</v>
      </c>
      <c r="T339" s="12" t="s">
        <v>48</v>
      </c>
      <c r="U339" s="12">
        <v>1249</v>
      </c>
    </row>
    <row r="340" spans="1:21">
      <c r="A340" s="13">
        <v>45717</v>
      </c>
      <c r="B340" s="12">
        <v>123463927</v>
      </c>
      <c r="C340" s="12">
        <v>1981</v>
      </c>
      <c r="D340" s="12" t="s">
        <v>100</v>
      </c>
      <c r="E340" s="12" t="s">
        <v>33</v>
      </c>
      <c r="F340" s="12" t="s">
        <v>80</v>
      </c>
      <c r="G340" s="12" t="s">
        <v>81</v>
      </c>
      <c r="H340" s="12" t="s">
        <v>36</v>
      </c>
      <c r="I340" s="12" t="s">
        <v>45</v>
      </c>
      <c r="J340" s="12">
        <v>1.084</v>
      </c>
      <c r="K340" s="12" t="s">
        <v>82</v>
      </c>
      <c r="L340" s="12" t="s">
        <v>84</v>
      </c>
      <c r="M340" s="12" t="s">
        <v>85</v>
      </c>
      <c r="N340" s="12" t="s">
        <v>14</v>
      </c>
      <c r="O340" s="12" t="s">
        <v>5</v>
      </c>
      <c r="P340" s="12">
        <v>5</v>
      </c>
      <c r="Q340" s="12">
        <v>3</v>
      </c>
      <c r="R340" s="12" t="s">
        <v>11</v>
      </c>
      <c r="S340" s="14">
        <v>0.4875</v>
      </c>
      <c r="T340" s="12" t="s">
        <v>41</v>
      </c>
      <c r="U340" s="12">
        <v>85494</v>
      </c>
    </row>
    <row r="341" spans="1:21">
      <c r="A341" s="13">
        <v>45992</v>
      </c>
      <c r="B341" s="12">
        <v>123951386</v>
      </c>
      <c r="C341" s="12">
        <v>1982</v>
      </c>
      <c r="D341" s="12" t="s">
        <v>61</v>
      </c>
      <c r="E341" s="12" t="s">
        <v>33</v>
      </c>
      <c r="F341" s="12" t="s">
        <v>34</v>
      </c>
      <c r="G341" s="12" t="s">
        <v>35</v>
      </c>
      <c r="H341" s="12" t="s">
        <v>36</v>
      </c>
      <c r="I341" s="12" t="s">
        <v>45</v>
      </c>
      <c r="J341" s="12">
        <v>0.997</v>
      </c>
      <c r="K341" s="12" t="s">
        <v>38</v>
      </c>
      <c r="L341" s="12" t="s">
        <v>99</v>
      </c>
      <c r="M341" s="12" t="s">
        <v>48</v>
      </c>
      <c r="N341" s="12" t="s">
        <v>12</v>
      </c>
      <c r="O341" s="12" t="s">
        <v>6</v>
      </c>
      <c r="P341" s="12">
        <v>0</v>
      </c>
      <c r="Q341" s="12">
        <v>3</v>
      </c>
      <c r="R341" s="12" t="s">
        <v>11</v>
      </c>
      <c r="S341" s="14">
        <v>0.472222222222222</v>
      </c>
      <c r="T341" s="12" t="s">
        <v>41</v>
      </c>
      <c r="U341" s="12">
        <v>128</v>
      </c>
    </row>
    <row r="342" spans="1:21">
      <c r="A342" s="13">
        <v>45870</v>
      </c>
      <c r="B342" s="12">
        <v>123613165</v>
      </c>
      <c r="C342" s="12">
        <v>1965</v>
      </c>
      <c r="D342" s="12" t="s">
        <v>74</v>
      </c>
      <c r="E342" s="12" t="s">
        <v>50</v>
      </c>
      <c r="F342" s="12" t="s">
        <v>56</v>
      </c>
      <c r="G342" s="12" t="s">
        <v>57</v>
      </c>
      <c r="H342" s="12" t="s">
        <v>58</v>
      </c>
      <c r="I342" s="12" t="s">
        <v>45</v>
      </c>
      <c r="J342" s="12">
        <v>0.997</v>
      </c>
      <c r="K342" s="12" t="s">
        <v>59</v>
      </c>
      <c r="L342" s="12" t="s">
        <v>60</v>
      </c>
      <c r="M342" s="12" t="s">
        <v>48</v>
      </c>
      <c r="N342" s="12" t="s">
        <v>12</v>
      </c>
      <c r="O342" s="12" t="s">
        <v>5</v>
      </c>
      <c r="P342" s="12">
        <v>6</v>
      </c>
      <c r="Q342" s="12">
        <v>1</v>
      </c>
      <c r="R342" s="12" t="s">
        <v>11</v>
      </c>
      <c r="S342" s="14">
        <v>0.366666666666667</v>
      </c>
      <c r="T342" s="12" t="s">
        <v>41</v>
      </c>
      <c r="U342" s="12">
        <v>59712</v>
      </c>
    </row>
    <row r="343" spans="1:21">
      <c r="A343" s="13">
        <v>45748</v>
      </c>
      <c r="B343" s="12">
        <v>123813009</v>
      </c>
      <c r="C343" s="12">
        <v>1990</v>
      </c>
      <c r="D343" s="12" t="s">
        <v>61</v>
      </c>
      <c r="E343" s="12" t="s">
        <v>50</v>
      </c>
      <c r="F343" s="12" t="s">
        <v>80</v>
      </c>
      <c r="G343" s="12" t="s">
        <v>81</v>
      </c>
      <c r="H343" s="12" t="s">
        <v>36</v>
      </c>
      <c r="I343" s="12" t="s">
        <v>37</v>
      </c>
      <c r="J343" s="12">
        <v>0.96</v>
      </c>
      <c r="K343" s="12" t="s">
        <v>82</v>
      </c>
      <c r="L343" s="12" t="s">
        <v>72</v>
      </c>
      <c r="M343" s="12" t="s">
        <v>73</v>
      </c>
      <c r="N343" s="12" t="s">
        <v>14</v>
      </c>
      <c r="O343" s="12" t="s">
        <v>5</v>
      </c>
      <c r="P343" s="12">
        <v>4</v>
      </c>
      <c r="Q343" s="12">
        <v>1</v>
      </c>
      <c r="R343" s="12" t="s">
        <v>11</v>
      </c>
      <c r="S343" s="14">
        <v>0.3625</v>
      </c>
      <c r="T343" s="12" t="s">
        <v>41</v>
      </c>
      <c r="U343" s="12">
        <v>41440</v>
      </c>
    </row>
    <row r="344" spans="1:21">
      <c r="A344" s="13">
        <v>45870</v>
      </c>
      <c r="B344" s="12">
        <v>123950732</v>
      </c>
      <c r="C344" s="12">
        <v>1994</v>
      </c>
      <c r="D344" s="12" t="s">
        <v>79</v>
      </c>
      <c r="E344" s="12" t="s">
        <v>50</v>
      </c>
      <c r="F344" s="12" t="s">
        <v>80</v>
      </c>
      <c r="G344" s="12" t="s">
        <v>81</v>
      </c>
      <c r="H344" s="12" t="s">
        <v>36</v>
      </c>
      <c r="I344" s="12" t="s">
        <v>45</v>
      </c>
      <c r="J344" s="12">
        <v>1.094</v>
      </c>
      <c r="K344" s="12" t="s">
        <v>82</v>
      </c>
      <c r="L344" s="12" t="s">
        <v>39</v>
      </c>
      <c r="M344" s="12" t="s">
        <v>40</v>
      </c>
      <c r="N344" s="12" t="s">
        <v>14</v>
      </c>
      <c r="O344" s="12" t="s">
        <v>5</v>
      </c>
      <c r="P344" s="12">
        <v>3</v>
      </c>
      <c r="Q344" s="12">
        <v>1</v>
      </c>
      <c r="R344" s="12" t="s">
        <v>13</v>
      </c>
      <c r="S344" s="14">
        <v>0.634027777777778</v>
      </c>
      <c r="T344" s="12" t="s">
        <v>67</v>
      </c>
      <c r="U344" s="12">
        <v>117884</v>
      </c>
    </row>
    <row r="345" spans="1:21">
      <c r="A345" s="13">
        <v>45839</v>
      </c>
      <c r="B345" s="12">
        <v>123475672</v>
      </c>
      <c r="C345" s="12">
        <v>1999</v>
      </c>
      <c r="D345" s="12" t="s">
        <v>83</v>
      </c>
      <c r="E345" s="12" t="s">
        <v>33</v>
      </c>
      <c r="F345" s="12" t="s">
        <v>62</v>
      </c>
      <c r="G345" s="12" t="s">
        <v>63</v>
      </c>
      <c r="H345" s="12" t="s">
        <v>58</v>
      </c>
      <c r="I345" s="12" t="s">
        <v>45</v>
      </c>
      <c r="J345" s="12">
        <v>1.202</v>
      </c>
      <c r="K345" s="12" t="s">
        <v>64</v>
      </c>
      <c r="L345" s="12" t="s">
        <v>84</v>
      </c>
      <c r="M345" s="12" t="s">
        <v>85</v>
      </c>
      <c r="N345" s="12" t="s">
        <v>14</v>
      </c>
      <c r="O345" s="12" t="s">
        <v>5</v>
      </c>
      <c r="P345" s="12">
        <v>5</v>
      </c>
      <c r="Q345" s="12">
        <v>1</v>
      </c>
      <c r="R345" s="12" t="s">
        <v>11</v>
      </c>
      <c r="S345" s="14">
        <v>0.540972222222222</v>
      </c>
      <c r="T345" s="12" t="s">
        <v>67</v>
      </c>
      <c r="U345" s="12">
        <v>75631</v>
      </c>
    </row>
    <row r="346" spans="1:21">
      <c r="A346" s="13">
        <v>45962</v>
      </c>
      <c r="B346" s="12">
        <v>123458977</v>
      </c>
      <c r="C346" s="12">
        <v>1966</v>
      </c>
      <c r="D346" s="12" t="s">
        <v>79</v>
      </c>
      <c r="E346" s="12" t="s">
        <v>50</v>
      </c>
      <c r="F346" s="12" t="s">
        <v>86</v>
      </c>
      <c r="G346" s="12" t="s">
        <v>87</v>
      </c>
      <c r="H346" s="12" t="s">
        <v>58</v>
      </c>
      <c r="I346" s="12" t="s">
        <v>45</v>
      </c>
      <c r="J346" s="12">
        <v>0.998</v>
      </c>
      <c r="K346" s="12" t="s">
        <v>88</v>
      </c>
      <c r="L346" s="12" t="s">
        <v>65</v>
      </c>
      <c r="M346" s="12" t="s">
        <v>96</v>
      </c>
      <c r="N346" s="12" t="s">
        <v>14</v>
      </c>
      <c r="O346" s="12" t="s">
        <v>4</v>
      </c>
      <c r="P346" s="12">
        <v>1</v>
      </c>
      <c r="Q346" s="12">
        <v>1</v>
      </c>
      <c r="R346" s="12" t="s">
        <v>13</v>
      </c>
      <c r="S346" s="12" t="s">
        <v>48</v>
      </c>
      <c r="T346" s="12" t="s">
        <v>48</v>
      </c>
      <c r="U346" s="12">
        <v>5550</v>
      </c>
    </row>
    <row r="347" spans="1:21">
      <c r="A347" s="13">
        <v>45748</v>
      </c>
      <c r="B347" s="12">
        <v>123458953</v>
      </c>
      <c r="C347" s="12">
        <v>1986</v>
      </c>
      <c r="D347" s="12" t="s">
        <v>61</v>
      </c>
      <c r="E347" s="12" t="s">
        <v>33</v>
      </c>
      <c r="F347" s="12" t="s">
        <v>91</v>
      </c>
      <c r="G347" s="12" t="s">
        <v>92</v>
      </c>
      <c r="H347" s="12" t="s">
        <v>58</v>
      </c>
      <c r="I347" s="12" t="s">
        <v>45</v>
      </c>
      <c r="J347" s="12">
        <v>1.029</v>
      </c>
      <c r="K347" s="12" t="s">
        <v>93</v>
      </c>
      <c r="L347" s="12" t="s">
        <v>60</v>
      </c>
      <c r="M347" s="12" t="s">
        <v>48</v>
      </c>
      <c r="N347" s="12" t="s">
        <v>12</v>
      </c>
      <c r="O347" s="12" t="s">
        <v>6</v>
      </c>
      <c r="P347" s="12">
        <v>0</v>
      </c>
      <c r="Q347" s="12">
        <v>2</v>
      </c>
      <c r="R347" s="12" t="s">
        <v>11</v>
      </c>
      <c r="S347" s="12" t="s">
        <v>48</v>
      </c>
      <c r="T347" s="12" t="s">
        <v>48</v>
      </c>
      <c r="U347" s="12">
        <v>1116</v>
      </c>
    </row>
    <row r="348" spans="1:21">
      <c r="A348" s="13">
        <v>45992</v>
      </c>
      <c r="B348" s="12">
        <v>123541041</v>
      </c>
      <c r="C348" s="12">
        <v>1988</v>
      </c>
      <c r="D348" s="12" t="s">
        <v>32</v>
      </c>
      <c r="E348" s="12" t="s">
        <v>50</v>
      </c>
      <c r="F348" s="12" t="s">
        <v>86</v>
      </c>
      <c r="G348" s="12" t="s">
        <v>87</v>
      </c>
      <c r="H348" s="12" t="s">
        <v>58</v>
      </c>
      <c r="I348" s="12" t="s">
        <v>45</v>
      </c>
      <c r="J348" s="12">
        <v>1.279</v>
      </c>
      <c r="K348" s="12" t="s">
        <v>88</v>
      </c>
      <c r="L348" s="12" t="s">
        <v>65</v>
      </c>
      <c r="M348" s="12" t="s">
        <v>66</v>
      </c>
      <c r="N348" s="12" t="s">
        <v>14</v>
      </c>
      <c r="O348" s="12" t="s">
        <v>5</v>
      </c>
      <c r="P348" s="12">
        <v>5</v>
      </c>
      <c r="Q348" s="12">
        <v>1</v>
      </c>
      <c r="R348" s="12" t="s">
        <v>13</v>
      </c>
      <c r="S348" s="14">
        <v>0.513888888888889</v>
      </c>
      <c r="T348" s="12" t="s">
        <v>67</v>
      </c>
      <c r="U348" s="12">
        <v>39884</v>
      </c>
    </row>
    <row r="349" spans="1:21">
      <c r="A349" s="13">
        <v>45992</v>
      </c>
      <c r="B349" s="12">
        <v>123484101</v>
      </c>
      <c r="C349" s="12">
        <v>1999</v>
      </c>
      <c r="D349" s="12" t="s">
        <v>97</v>
      </c>
      <c r="E349" s="12" t="s">
        <v>33</v>
      </c>
      <c r="F349" s="12" t="s">
        <v>34</v>
      </c>
      <c r="G349" s="12" t="s">
        <v>35</v>
      </c>
      <c r="H349" s="12" t="s">
        <v>36</v>
      </c>
      <c r="I349" s="12" t="s">
        <v>45</v>
      </c>
      <c r="J349" s="12">
        <v>1.105</v>
      </c>
      <c r="K349" s="12" t="s">
        <v>38</v>
      </c>
      <c r="L349" s="12" t="s">
        <v>72</v>
      </c>
      <c r="M349" s="12" t="s">
        <v>73</v>
      </c>
      <c r="N349" s="12" t="s">
        <v>14</v>
      </c>
      <c r="O349" s="12" t="s">
        <v>5</v>
      </c>
      <c r="P349" s="12">
        <v>4</v>
      </c>
      <c r="Q349" s="12">
        <v>3</v>
      </c>
      <c r="R349" s="12" t="s">
        <v>13</v>
      </c>
      <c r="S349" s="14">
        <v>0.694444444444444</v>
      </c>
      <c r="T349" s="12" t="s">
        <v>67</v>
      </c>
      <c r="U349" s="12">
        <v>67644</v>
      </c>
    </row>
    <row r="350" spans="1:21">
      <c r="A350" s="13">
        <v>45717</v>
      </c>
      <c r="B350" s="12">
        <v>123902068</v>
      </c>
      <c r="C350" s="12">
        <v>1961</v>
      </c>
      <c r="D350" s="12" t="s">
        <v>61</v>
      </c>
      <c r="E350" s="12" t="s">
        <v>50</v>
      </c>
      <c r="F350" s="12" t="s">
        <v>43</v>
      </c>
      <c r="G350" s="12" t="s">
        <v>44</v>
      </c>
      <c r="H350" s="12" t="s">
        <v>36</v>
      </c>
      <c r="I350" s="12" t="s">
        <v>45</v>
      </c>
      <c r="J350" s="12">
        <v>1.141</v>
      </c>
      <c r="K350" s="12" t="s">
        <v>46</v>
      </c>
      <c r="L350" s="12" t="s">
        <v>39</v>
      </c>
      <c r="M350" s="12" t="s">
        <v>78</v>
      </c>
      <c r="N350" s="12" t="s">
        <v>14</v>
      </c>
      <c r="O350" s="12" t="s">
        <v>6</v>
      </c>
      <c r="P350" s="12">
        <v>0</v>
      </c>
      <c r="Q350" s="12">
        <v>1</v>
      </c>
      <c r="R350" s="12" t="s">
        <v>11</v>
      </c>
      <c r="S350" s="12" t="s">
        <v>48</v>
      </c>
      <c r="T350" s="12" t="s">
        <v>48</v>
      </c>
      <c r="U350" s="12">
        <v>399</v>
      </c>
    </row>
    <row r="351" spans="1:21">
      <c r="A351" s="13">
        <v>45689</v>
      </c>
      <c r="B351" s="12">
        <v>123785622</v>
      </c>
      <c r="C351" s="12">
        <v>1993</v>
      </c>
      <c r="D351" s="12" t="s">
        <v>61</v>
      </c>
      <c r="E351" s="12" t="s">
        <v>33</v>
      </c>
      <c r="F351" s="12" t="s">
        <v>80</v>
      </c>
      <c r="G351" s="12" t="s">
        <v>81</v>
      </c>
      <c r="H351" s="12" t="s">
        <v>36</v>
      </c>
      <c r="I351" s="12" t="s">
        <v>45</v>
      </c>
      <c r="J351" s="12">
        <v>0.961</v>
      </c>
      <c r="K351" s="12" t="s">
        <v>82</v>
      </c>
      <c r="L351" s="12" t="s">
        <v>72</v>
      </c>
      <c r="M351" s="12" t="s">
        <v>73</v>
      </c>
      <c r="N351" s="12" t="s">
        <v>14</v>
      </c>
      <c r="O351" s="12" t="s">
        <v>6</v>
      </c>
      <c r="P351" s="12">
        <v>0</v>
      </c>
      <c r="Q351" s="12">
        <v>1</v>
      </c>
      <c r="R351" s="12" t="s">
        <v>11</v>
      </c>
      <c r="S351" s="12" t="s">
        <v>48</v>
      </c>
      <c r="T351" s="12" t="s">
        <v>48</v>
      </c>
      <c r="U351" s="12">
        <v>225</v>
      </c>
    </row>
    <row r="352" spans="1:21">
      <c r="A352" s="13">
        <v>45839</v>
      </c>
      <c r="B352" s="12">
        <v>123989144</v>
      </c>
      <c r="C352" s="12">
        <v>1959</v>
      </c>
      <c r="D352" s="12" t="s">
        <v>61</v>
      </c>
      <c r="E352" s="12" t="s">
        <v>50</v>
      </c>
      <c r="F352" s="12" t="s">
        <v>80</v>
      </c>
      <c r="G352" s="12" t="s">
        <v>81</v>
      </c>
      <c r="H352" s="12" t="s">
        <v>36</v>
      </c>
      <c r="I352" s="12" t="s">
        <v>45</v>
      </c>
      <c r="J352" s="12">
        <v>1.218</v>
      </c>
      <c r="K352" s="12" t="s">
        <v>82</v>
      </c>
      <c r="L352" s="12" t="s">
        <v>39</v>
      </c>
      <c r="M352" s="12" t="s">
        <v>47</v>
      </c>
      <c r="N352" s="12" t="s">
        <v>14</v>
      </c>
      <c r="O352" s="12" t="s">
        <v>6</v>
      </c>
      <c r="P352" s="12">
        <v>0</v>
      </c>
      <c r="Q352" s="12">
        <v>3</v>
      </c>
      <c r="R352" s="12" t="s">
        <v>11</v>
      </c>
      <c r="S352" s="12" t="s">
        <v>48</v>
      </c>
      <c r="T352" s="12" t="s">
        <v>48</v>
      </c>
      <c r="U352" s="12">
        <v>1791</v>
      </c>
    </row>
    <row r="353" spans="1:21">
      <c r="A353" s="13">
        <v>45658</v>
      </c>
      <c r="B353" s="12">
        <v>123892005</v>
      </c>
      <c r="C353" s="12">
        <v>1964</v>
      </c>
      <c r="D353" s="12" t="s">
        <v>32</v>
      </c>
      <c r="E353" s="12" t="s">
        <v>33</v>
      </c>
      <c r="F353" s="12" t="s">
        <v>80</v>
      </c>
      <c r="G353" s="12" t="s">
        <v>81</v>
      </c>
      <c r="H353" s="12" t="s">
        <v>36</v>
      </c>
      <c r="I353" s="12" t="s">
        <v>45</v>
      </c>
      <c r="J353" s="12">
        <v>1.075</v>
      </c>
      <c r="K353" s="12" t="s">
        <v>82</v>
      </c>
      <c r="L353" s="12" t="s">
        <v>39</v>
      </c>
      <c r="M353" s="12" t="s">
        <v>78</v>
      </c>
      <c r="N353" s="12" t="s">
        <v>14</v>
      </c>
      <c r="O353" s="12" t="s">
        <v>6</v>
      </c>
      <c r="P353" s="12">
        <v>0</v>
      </c>
      <c r="Q353" s="12">
        <v>2</v>
      </c>
      <c r="R353" s="12" t="s">
        <v>11</v>
      </c>
      <c r="S353" s="12" t="s">
        <v>48</v>
      </c>
      <c r="T353" s="12" t="s">
        <v>48</v>
      </c>
      <c r="U353" s="12">
        <v>1458</v>
      </c>
    </row>
    <row r="354" spans="1:21">
      <c r="A354" s="13">
        <v>45748</v>
      </c>
      <c r="B354" s="12">
        <v>123979973</v>
      </c>
      <c r="C354" s="12">
        <v>1998</v>
      </c>
      <c r="D354" s="12" t="s">
        <v>83</v>
      </c>
      <c r="E354" s="12" t="s">
        <v>50</v>
      </c>
      <c r="F354" s="12" t="s">
        <v>56</v>
      </c>
      <c r="G354" s="12" t="s">
        <v>57</v>
      </c>
      <c r="H354" s="12" t="s">
        <v>58</v>
      </c>
      <c r="I354" s="12" t="s">
        <v>45</v>
      </c>
      <c r="J354" s="12">
        <v>1.101</v>
      </c>
      <c r="K354" s="12" t="s">
        <v>59</v>
      </c>
      <c r="L354" s="12" t="s">
        <v>72</v>
      </c>
      <c r="M354" s="12" t="s">
        <v>73</v>
      </c>
      <c r="N354" s="12" t="s">
        <v>14</v>
      </c>
      <c r="O354" s="12" t="s">
        <v>6</v>
      </c>
      <c r="P354" s="12">
        <v>0</v>
      </c>
      <c r="Q354" s="12">
        <v>2</v>
      </c>
      <c r="R354" s="12" t="s">
        <v>13</v>
      </c>
      <c r="S354" s="12" t="s">
        <v>48</v>
      </c>
      <c r="T354" s="12" t="s">
        <v>48</v>
      </c>
      <c r="U354" s="12">
        <v>721</v>
      </c>
    </row>
    <row r="355" spans="1:21">
      <c r="A355" s="13">
        <v>45809</v>
      </c>
      <c r="B355" s="12">
        <v>123585772</v>
      </c>
      <c r="C355" s="12">
        <v>1992</v>
      </c>
      <c r="D355" s="12" t="s">
        <v>98</v>
      </c>
      <c r="E355" s="12" t="s">
        <v>33</v>
      </c>
      <c r="F355" s="12" t="s">
        <v>62</v>
      </c>
      <c r="G355" s="12" t="s">
        <v>63</v>
      </c>
      <c r="H355" s="12" t="s">
        <v>58</v>
      </c>
      <c r="I355" s="12" t="s">
        <v>45</v>
      </c>
      <c r="J355" s="12">
        <v>1.063</v>
      </c>
      <c r="K355" s="12" t="s">
        <v>64</v>
      </c>
      <c r="L355" s="12" t="s">
        <v>84</v>
      </c>
      <c r="M355" s="12" t="s">
        <v>89</v>
      </c>
      <c r="N355" s="12" t="s">
        <v>14</v>
      </c>
      <c r="O355" s="12" t="s">
        <v>6</v>
      </c>
      <c r="P355" s="12">
        <v>0</v>
      </c>
      <c r="Q355" s="12">
        <v>2</v>
      </c>
      <c r="R355" s="12" t="s">
        <v>13</v>
      </c>
      <c r="S355" s="12" t="s">
        <v>48</v>
      </c>
      <c r="T355" s="12" t="s">
        <v>48</v>
      </c>
      <c r="U355" s="12">
        <v>919</v>
      </c>
    </row>
    <row r="356" spans="1:21">
      <c r="A356" s="13">
        <v>45992</v>
      </c>
      <c r="B356" s="12">
        <v>123612562</v>
      </c>
      <c r="C356" s="12">
        <v>1973</v>
      </c>
      <c r="D356" s="12" t="s">
        <v>42</v>
      </c>
      <c r="E356" s="12" t="s">
        <v>33</v>
      </c>
      <c r="F356" s="12" t="s">
        <v>43</v>
      </c>
      <c r="G356" s="12" t="s">
        <v>44</v>
      </c>
      <c r="H356" s="12" t="s">
        <v>36</v>
      </c>
      <c r="I356" s="12" t="s">
        <v>45</v>
      </c>
      <c r="J356" s="12">
        <v>1.018</v>
      </c>
      <c r="K356" s="12" t="s">
        <v>46</v>
      </c>
      <c r="L356" s="12" t="s">
        <v>60</v>
      </c>
      <c r="M356" s="12" t="s">
        <v>48</v>
      </c>
      <c r="N356" s="12" t="s">
        <v>12</v>
      </c>
      <c r="O356" s="12" t="s">
        <v>5</v>
      </c>
      <c r="P356" s="12">
        <v>5</v>
      </c>
      <c r="Q356" s="12">
        <v>1</v>
      </c>
      <c r="R356" s="12" t="s">
        <v>13</v>
      </c>
      <c r="S356" s="14">
        <v>0.313888888888889</v>
      </c>
      <c r="T356" s="12" t="s">
        <v>41</v>
      </c>
      <c r="U356" s="12">
        <v>80733</v>
      </c>
    </row>
    <row r="357" spans="1:21">
      <c r="A357" s="13">
        <v>45992</v>
      </c>
      <c r="B357" s="12">
        <v>123918077</v>
      </c>
      <c r="C357" s="12">
        <v>1989</v>
      </c>
      <c r="D357" s="12" t="s">
        <v>97</v>
      </c>
      <c r="E357" s="12" t="s">
        <v>33</v>
      </c>
      <c r="F357" s="12" t="s">
        <v>69</v>
      </c>
      <c r="G357" s="12" t="s">
        <v>70</v>
      </c>
      <c r="H357" s="12" t="s">
        <v>58</v>
      </c>
      <c r="I357" s="12" t="s">
        <v>45</v>
      </c>
      <c r="J357" s="12">
        <v>0.968</v>
      </c>
      <c r="K357" s="12" t="s">
        <v>71</v>
      </c>
      <c r="L357" s="12" t="s">
        <v>65</v>
      </c>
      <c r="M357" s="12" t="s">
        <v>66</v>
      </c>
      <c r="N357" s="12" t="s">
        <v>14</v>
      </c>
      <c r="O357" s="12" t="s">
        <v>6</v>
      </c>
      <c r="P357" s="12">
        <v>0</v>
      </c>
      <c r="Q357" s="12">
        <v>1</v>
      </c>
      <c r="R357" s="12" t="s">
        <v>11</v>
      </c>
      <c r="S357" s="12" t="s">
        <v>48</v>
      </c>
      <c r="T357" s="12" t="s">
        <v>48</v>
      </c>
      <c r="U357" s="12">
        <v>331</v>
      </c>
    </row>
    <row r="358" spans="1:21">
      <c r="A358" s="13">
        <v>45689</v>
      </c>
      <c r="B358" s="12">
        <v>123589215</v>
      </c>
      <c r="C358" s="12">
        <v>1990</v>
      </c>
      <c r="D358" s="12" t="s">
        <v>68</v>
      </c>
      <c r="E358" s="12" t="s">
        <v>50</v>
      </c>
      <c r="F358" s="12" t="s">
        <v>43</v>
      </c>
      <c r="G358" s="12" t="s">
        <v>44</v>
      </c>
      <c r="H358" s="12" t="s">
        <v>36</v>
      </c>
      <c r="I358" s="12" t="s">
        <v>45</v>
      </c>
      <c r="J358" s="12">
        <v>1.14</v>
      </c>
      <c r="K358" s="12" t="s">
        <v>46</v>
      </c>
      <c r="L358" s="12" t="s">
        <v>60</v>
      </c>
      <c r="M358" s="12" t="s">
        <v>48</v>
      </c>
      <c r="N358" s="12" t="s">
        <v>12</v>
      </c>
      <c r="O358" s="12" t="s">
        <v>5</v>
      </c>
      <c r="P358" s="12">
        <v>3</v>
      </c>
      <c r="Q358" s="12">
        <v>2</v>
      </c>
      <c r="R358" s="12" t="s">
        <v>11</v>
      </c>
      <c r="S358" s="14">
        <v>0.870833333333333</v>
      </c>
      <c r="T358" s="12" t="s">
        <v>67</v>
      </c>
      <c r="U358" s="12">
        <v>14636</v>
      </c>
    </row>
    <row r="359" spans="1:21">
      <c r="A359" s="13">
        <v>45962</v>
      </c>
      <c r="B359" s="12">
        <v>123487134</v>
      </c>
      <c r="C359" s="12">
        <v>1985</v>
      </c>
      <c r="D359" s="12" t="s">
        <v>68</v>
      </c>
      <c r="E359" s="12" t="s">
        <v>50</v>
      </c>
      <c r="F359" s="12" t="s">
        <v>80</v>
      </c>
      <c r="G359" s="12" t="s">
        <v>81</v>
      </c>
      <c r="H359" s="12" t="s">
        <v>36</v>
      </c>
      <c r="I359" s="12" t="s">
        <v>45</v>
      </c>
      <c r="J359" s="12">
        <v>0.999</v>
      </c>
      <c r="K359" s="12" t="s">
        <v>82</v>
      </c>
      <c r="L359" s="12" t="s">
        <v>65</v>
      </c>
      <c r="M359" s="12" t="s">
        <v>66</v>
      </c>
      <c r="N359" s="12" t="s">
        <v>14</v>
      </c>
      <c r="O359" s="12" t="s">
        <v>6</v>
      </c>
      <c r="P359" s="12">
        <v>0</v>
      </c>
      <c r="Q359" s="12">
        <v>2</v>
      </c>
      <c r="R359" s="12" t="s">
        <v>11</v>
      </c>
      <c r="S359" s="12" t="s">
        <v>48</v>
      </c>
      <c r="T359" s="12" t="s">
        <v>48</v>
      </c>
      <c r="U359" s="12">
        <v>967</v>
      </c>
    </row>
    <row r="360" spans="1:21">
      <c r="A360" s="13">
        <v>45689</v>
      </c>
      <c r="B360" s="12">
        <v>123820006</v>
      </c>
      <c r="C360" s="12">
        <v>1996</v>
      </c>
      <c r="D360" s="12" t="s">
        <v>49</v>
      </c>
      <c r="E360" s="12" t="s">
        <v>50</v>
      </c>
      <c r="F360" s="12" t="s">
        <v>43</v>
      </c>
      <c r="G360" s="12" t="s">
        <v>44</v>
      </c>
      <c r="H360" s="12" t="s">
        <v>36</v>
      </c>
      <c r="I360" s="12" t="s">
        <v>45</v>
      </c>
      <c r="J360" s="12">
        <v>1.018</v>
      </c>
      <c r="K360" s="12" t="s">
        <v>46</v>
      </c>
      <c r="L360" s="12" t="s">
        <v>84</v>
      </c>
      <c r="M360" s="12" t="s">
        <v>89</v>
      </c>
      <c r="N360" s="12" t="s">
        <v>14</v>
      </c>
      <c r="O360" s="12" t="s">
        <v>5</v>
      </c>
      <c r="P360" s="12">
        <v>4</v>
      </c>
      <c r="Q360" s="12">
        <v>2</v>
      </c>
      <c r="R360" s="12" t="s">
        <v>11</v>
      </c>
      <c r="S360" s="14">
        <v>0.445138888888889</v>
      </c>
      <c r="T360" s="12" t="s">
        <v>41</v>
      </c>
      <c r="U360" s="12">
        <v>104964</v>
      </c>
    </row>
    <row r="361" spans="1:21">
      <c r="A361" s="13">
        <v>45901</v>
      </c>
      <c r="B361" s="12">
        <v>123891723</v>
      </c>
      <c r="C361" s="12">
        <v>1985</v>
      </c>
      <c r="D361" s="12" t="s">
        <v>74</v>
      </c>
      <c r="E361" s="12" t="s">
        <v>50</v>
      </c>
      <c r="F361" s="12" t="s">
        <v>80</v>
      </c>
      <c r="G361" s="12" t="s">
        <v>81</v>
      </c>
      <c r="H361" s="12" t="s">
        <v>36</v>
      </c>
      <c r="I361" s="12" t="s">
        <v>45</v>
      </c>
      <c r="J361" s="12">
        <v>1.005</v>
      </c>
      <c r="K361" s="12" t="s">
        <v>82</v>
      </c>
      <c r="L361" s="12" t="s">
        <v>39</v>
      </c>
      <c r="M361" s="12" t="s">
        <v>78</v>
      </c>
      <c r="N361" s="12" t="s">
        <v>14</v>
      </c>
      <c r="O361" s="12" t="s">
        <v>6</v>
      </c>
      <c r="P361" s="12">
        <v>0</v>
      </c>
      <c r="Q361" s="12">
        <v>1</v>
      </c>
      <c r="R361" s="12" t="s">
        <v>13</v>
      </c>
      <c r="S361" s="14">
        <v>0.401388888888889</v>
      </c>
      <c r="T361" s="12" t="s">
        <v>41</v>
      </c>
      <c r="U361" s="12">
        <v>1869</v>
      </c>
    </row>
    <row r="362" spans="1:21">
      <c r="A362" s="13">
        <v>45962</v>
      </c>
      <c r="B362" s="12">
        <v>123982697</v>
      </c>
      <c r="C362" s="12">
        <v>1996</v>
      </c>
      <c r="D362" s="12" t="s">
        <v>97</v>
      </c>
      <c r="E362" s="12" t="s">
        <v>50</v>
      </c>
      <c r="F362" s="12" t="s">
        <v>80</v>
      </c>
      <c r="G362" s="12" t="s">
        <v>81</v>
      </c>
      <c r="H362" s="12" t="s">
        <v>36</v>
      </c>
      <c r="I362" s="12" t="s">
        <v>45</v>
      </c>
      <c r="J362" s="12">
        <v>1.099</v>
      </c>
      <c r="K362" s="12" t="s">
        <v>82</v>
      </c>
      <c r="L362" s="12" t="s">
        <v>84</v>
      </c>
      <c r="M362" s="12" t="s">
        <v>89</v>
      </c>
      <c r="N362" s="12" t="s">
        <v>14</v>
      </c>
      <c r="O362" s="12" t="s">
        <v>6</v>
      </c>
      <c r="P362" s="12">
        <v>0</v>
      </c>
      <c r="Q362" s="12">
        <v>2</v>
      </c>
      <c r="R362" s="12" t="s">
        <v>11</v>
      </c>
      <c r="S362" s="14">
        <v>0.608333333333333</v>
      </c>
      <c r="T362" s="12" t="s">
        <v>67</v>
      </c>
      <c r="U362" s="12">
        <v>900</v>
      </c>
    </row>
    <row r="363" spans="1:21">
      <c r="A363" s="13">
        <v>45962</v>
      </c>
      <c r="B363" s="12">
        <v>123960719</v>
      </c>
      <c r="C363" s="12">
        <v>1999</v>
      </c>
      <c r="D363" s="12" t="s">
        <v>61</v>
      </c>
      <c r="E363" s="12" t="s">
        <v>33</v>
      </c>
      <c r="F363" s="12" t="s">
        <v>75</v>
      </c>
      <c r="G363" s="12" t="s">
        <v>76</v>
      </c>
      <c r="H363" s="12" t="s">
        <v>53</v>
      </c>
      <c r="I363" s="12" t="s">
        <v>45</v>
      </c>
      <c r="J363" s="12">
        <v>1.123</v>
      </c>
      <c r="K363" s="12" t="s">
        <v>77</v>
      </c>
      <c r="L363" s="12" t="s">
        <v>39</v>
      </c>
      <c r="M363" s="12" t="s">
        <v>47</v>
      </c>
      <c r="N363" s="12" t="s">
        <v>14</v>
      </c>
      <c r="O363" s="12" t="s">
        <v>6</v>
      </c>
      <c r="P363" s="12">
        <v>0</v>
      </c>
      <c r="Q363" s="12">
        <v>2</v>
      </c>
      <c r="R363" s="12" t="s">
        <v>11</v>
      </c>
      <c r="S363" s="12" t="s">
        <v>48</v>
      </c>
      <c r="T363" s="12" t="s">
        <v>48</v>
      </c>
      <c r="U363" s="12">
        <v>1092</v>
      </c>
    </row>
    <row r="364" spans="1:21">
      <c r="A364" s="13">
        <v>45717</v>
      </c>
      <c r="B364" s="12">
        <v>123521405</v>
      </c>
      <c r="C364" s="12">
        <v>2005</v>
      </c>
      <c r="D364" s="12" t="s">
        <v>94</v>
      </c>
      <c r="E364" s="12" t="s">
        <v>33</v>
      </c>
      <c r="F364" s="12" t="s">
        <v>62</v>
      </c>
      <c r="G364" s="12" t="s">
        <v>63</v>
      </c>
      <c r="H364" s="12" t="s">
        <v>58</v>
      </c>
      <c r="I364" s="12" t="s">
        <v>45</v>
      </c>
      <c r="J364" s="12">
        <v>0.943</v>
      </c>
      <c r="K364" s="12" t="s">
        <v>64</v>
      </c>
      <c r="L364" s="12" t="s">
        <v>39</v>
      </c>
      <c r="M364" s="12" t="s">
        <v>78</v>
      </c>
      <c r="N364" s="12" t="s">
        <v>14</v>
      </c>
      <c r="O364" s="12" t="s">
        <v>5</v>
      </c>
      <c r="P364" s="12">
        <v>6</v>
      </c>
      <c r="Q364" s="12">
        <v>1</v>
      </c>
      <c r="R364" s="12" t="s">
        <v>11</v>
      </c>
      <c r="S364" s="14">
        <v>0.817361111111111</v>
      </c>
      <c r="T364" s="12" t="s">
        <v>67</v>
      </c>
      <c r="U364" s="12">
        <v>98139</v>
      </c>
    </row>
    <row r="365" spans="1:21">
      <c r="A365" s="13">
        <v>45962</v>
      </c>
      <c r="B365" s="12">
        <v>123876026</v>
      </c>
      <c r="C365" s="12">
        <v>1983</v>
      </c>
      <c r="D365" s="12" t="s">
        <v>32</v>
      </c>
      <c r="E365" s="12" t="s">
        <v>50</v>
      </c>
      <c r="F365" s="12" t="s">
        <v>34</v>
      </c>
      <c r="G365" s="12" t="s">
        <v>35</v>
      </c>
      <c r="H365" s="12" t="s">
        <v>36</v>
      </c>
      <c r="I365" s="12" t="s">
        <v>45</v>
      </c>
      <c r="J365" s="12">
        <v>0.963</v>
      </c>
      <c r="K365" s="12" t="s">
        <v>38</v>
      </c>
      <c r="L365" s="12" t="s">
        <v>39</v>
      </c>
      <c r="M365" s="12" t="s">
        <v>47</v>
      </c>
      <c r="N365" s="12" t="s">
        <v>14</v>
      </c>
      <c r="O365" s="12" t="s">
        <v>6</v>
      </c>
      <c r="P365" s="12">
        <v>0</v>
      </c>
      <c r="Q365" s="12">
        <v>1</v>
      </c>
      <c r="R365" s="12" t="s">
        <v>13</v>
      </c>
      <c r="S365" s="12" t="s">
        <v>48</v>
      </c>
      <c r="T365" s="12" t="s">
        <v>48</v>
      </c>
      <c r="U365" s="12">
        <v>418</v>
      </c>
    </row>
    <row r="366" spans="1:21">
      <c r="A366" s="13">
        <v>45689</v>
      </c>
      <c r="B366" s="12">
        <v>123916292</v>
      </c>
      <c r="C366" s="12">
        <v>1957</v>
      </c>
      <c r="D366" s="12" t="s">
        <v>79</v>
      </c>
      <c r="E366" s="12" t="s">
        <v>33</v>
      </c>
      <c r="F366" s="12" t="s">
        <v>80</v>
      </c>
      <c r="G366" s="12" t="s">
        <v>81</v>
      </c>
      <c r="H366" s="12" t="s">
        <v>36</v>
      </c>
      <c r="I366" s="12" t="s">
        <v>45</v>
      </c>
      <c r="J366" s="12">
        <v>1.108</v>
      </c>
      <c r="K366" s="12" t="s">
        <v>82</v>
      </c>
      <c r="L366" s="12" t="s">
        <v>65</v>
      </c>
      <c r="M366" s="12" t="s">
        <v>96</v>
      </c>
      <c r="N366" s="12" t="s">
        <v>14</v>
      </c>
      <c r="O366" s="12" t="s">
        <v>4</v>
      </c>
      <c r="P366" s="12">
        <v>1</v>
      </c>
      <c r="Q366" s="12">
        <v>2</v>
      </c>
      <c r="R366" s="12" t="s">
        <v>13</v>
      </c>
      <c r="S366" s="14">
        <v>0.365277777777778</v>
      </c>
      <c r="T366" s="12" t="s">
        <v>41</v>
      </c>
      <c r="U366" s="12">
        <v>11108</v>
      </c>
    </row>
    <row r="367" spans="1:21">
      <c r="A367" s="13">
        <v>45839</v>
      </c>
      <c r="B367" s="12">
        <v>123835777</v>
      </c>
      <c r="C367" s="12">
        <v>1982</v>
      </c>
      <c r="D367" s="12" t="s">
        <v>79</v>
      </c>
      <c r="E367" s="12" t="s">
        <v>33</v>
      </c>
      <c r="F367" s="12" t="s">
        <v>34</v>
      </c>
      <c r="G367" s="12" t="s">
        <v>35</v>
      </c>
      <c r="H367" s="12" t="s">
        <v>36</v>
      </c>
      <c r="I367" s="12" t="s">
        <v>45</v>
      </c>
      <c r="J367" s="12">
        <v>1.153</v>
      </c>
      <c r="K367" s="12" t="s">
        <v>38</v>
      </c>
      <c r="L367" s="12" t="s">
        <v>65</v>
      </c>
      <c r="M367" s="12" t="s">
        <v>96</v>
      </c>
      <c r="N367" s="12" t="s">
        <v>14</v>
      </c>
      <c r="O367" s="12" t="s">
        <v>6</v>
      </c>
      <c r="P367" s="12">
        <v>0</v>
      </c>
      <c r="Q367" s="12">
        <v>2</v>
      </c>
      <c r="R367" s="12" t="s">
        <v>11</v>
      </c>
      <c r="S367" s="12" t="s">
        <v>48</v>
      </c>
      <c r="T367" s="12" t="s">
        <v>48</v>
      </c>
      <c r="U367" s="12">
        <v>986</v>
      </c>
    </row>
    <row r="368" spans="1:21">
      <c r="A368" s="13">
        <v>45809</v>
      </c>
      <c r="B368" s="12">
        <v>123901970</v>
      </c>
      <c r="C368" s="12">
        <v>1988</v>
      </c>
      <c r="D368" s="12" t="s">
        <v>83</v>
      </c>
      <c r="E368" s="12" t="s">
        <v>33</v>
      </c>
      <c r="F368" s="12" t="s">
        <v>80</v>
      </c>
      <c r="G368" s="12" t="s">
        <v>81</v>
      </c>
      <c r="H368" s="12" t="s">
        <v>36</v>
      </c>
      <c r="I368" s="12" t="s">
        <v>45</v>
      </c>
      <c r="J368" s="12">
        <v>1.185</v>
      </c>
      <c r="K368" s="12" t="s">
        <v>82</v>
      </c>
      <c r="L368" s="12" t="s">
        <v>99</v>
      </c>
      <c r="M368" s="12" t="s">
        <v>48</v>
      </c>
      <c r="N368" s="12" t="s">
        <v>12</v>
      </c>
      <c r="O368" s="12" t="s">
        <v>6</v>
      </c>
      <c r="P368" s="12">
        <v>0</v>
      </c>
      <c r="Q368" s="12">
        <v>2</v>
      </c>
      <c r="R368" s="12" t="s">
        <v>13</v>
      </c>
      <c r="S368" s="12" t="s">
        <v>48</v>
      </c>
      <c r="T368" s="12" t="s">
        <v>48</v>
      </c>
      <c r="U368" s="12">
        <v>1354</v>
      </c>
    </row>
    <row r="369" spans="1:21">
      <c r="A369" s="13">
        <v>45748</v>
      </c>
      <c r="B369" s="12">
        <v>123911860</v>
      </c>
      <c r="C369" s="12">
        <v>1984</v>
      </c>
      <c r="D369" s="12" t="s">
        <v>42</v>
      </c>
      <c r="E369" s="12" t="s">
        <v>50</v>
      </c>
      <c r="F369" s="12" t="s">
        <v>91</v>
      </c>
      <c r="G369" s="12" t="s">
        <v>92</v>
      </c>
      <c r="H369" s="12" t="s">
        <v>58</v>
      </c>
      <c r="I369" s="12" t="s">
        <v>45</v>
      </c>
      <c r="J369" s="12">
        <v>0.875</v>
      </c>
      <c r="K369" s="12" t="s">
        <v>93</v>
      </c>
      <c r="L369" s="12" t="s">
        <v>99</v>
      </c>
      <c r="M369" s="12" t="s">
        <v>48</v>
      </c>
      <c r="N369" s="12" t="s">
        <v>12</v>
      </c>
      <c r="O369" s="12" t="s">
        <v>6</v>
      </c>
      <c r="P369" s="12">
        <v>0</v>
      </c>
      <c r="Q369" s="12">
        <v>2</v>
      </c>
      <c r="R369" s="12" t="s">
        <v>11</v>
      </c>
      <c r="S369" s="14">
        <v>0.598611111111111</v>
      </c>
      <c r="T369" s="12" t="s">
        <v>67</v>
      </c>
      <c r="U369" s="12">
        <v>165</v>
      </c>
    </row>
    <row r="370" spans="1:21">
      <c r="A370" s="13">
        <v>45658</v>
      </c>
      <c r="B370" s="12">
        <v>123698922</v>
      </c>
      <c r="C370" s="12">
        <v>1976</v>
      </c>
      <c r="D370" s="12" t="s">
        <v>83</v>
      </c>
      <c r="E370" s="12" t="s">
        <v>50</v>
      </c>
      <c r="F370" s="12" t="s">
        <v>69</v>
      </c>
      <c r="G370" s="12" t="s">
        <v>70</v>
      </c>
      <c r="H370" s="12" t="s">
        <v>58</v>
      </c>
      <c r="I370" s="12" t="s">
        <v>45</v>
      </c>
      <c r="J370" s="12">
        <v>1.094</v>
      </c>
      <c r="K370" s="12" t="s">
        <v>71</v>
      </c>
      <c r="L370" s="12" t="s">
        <v>60</v>
      </c>
      <c r="M370" s="12" t="s">
        <v>48</v>
      </c>
      <c r="N370" s="12" t="s">
        <v>12</v>
      </c>
      <c r="O370" s="12" t="s">
        <v>5</v>
      </c>
      <c r="P370" s="12">
        <v>3</v>
      </c>
      <c r="Q370" s="12">
        <v>2</v>
      </c>
      <c r="R370" s="12" t="s">
        <v>13</v>
      </c>
      <c r="S370" s="12" t="s">
        <v>48</v>
      </c>
      <c r="T370" s="12" t="s">
        <v>48</v>
      </c>
      <c r="U370" s="12">
        <v>79363</v>
      </c>
    </row>
    <row r="371" spans="1:21">
      <c r="A371" s="13">
        <v>45931</v>
      </c>
      <c r="B371" s="12">
        <v>123477842</v>
      </c>
      <c r="C371" s="12">
        <v>1960</v>
      </c>
      <c r="D371" s="12" t="s">
        <v>68</v>
      </c>
      <c r="E371" s="12" t="s">
        <v>33</v>
      </c>
      <c r="F371" s="12" t="s">
        <v>34</v>
      </c>
      <c r="G371" s="12" t="s">
        <v>35</v>
      </c>
      <c r="H371" s="12" t="s">
        <v>36</v>
      </c>
      <c r="I371" s="12" t="s">
        <v>45</v>
      </c>
      <c r="J371" s="12">
        <v>0.867</v>
      </c>
      <c r="K371" s="12" t="s">
        <v>38</v>
      </c>
      <c r="L371" s="12" t="s">
        <v>39</v>
      </c>
      <c r="M371" s="12" t="s">
        <v>47</v>
      </c>
      <c r="N371" s="12" t="s">
        <v>14</v>
      </c>
      <c r="O371" s="12" t="s">
        <v>6</v>
      </c>
      <c r="P371" s="12">
        <v>0</v>
      </c>
      <c r="Q371" s="12">
        <v>1</v>
      </c>
      <c r="R371" s="12" t="s">
        <v>11</v>
      </c>
      <c r="S371" s="14">
        <v>0.647916666666667</v>
      </c>
      <c r="T371" s="12" t="s">
        <v>67</v>
      </c>
      <c r="U371" s="12">
        <v>1783</v>
      </c>
    </row>
    <row r="372" spans="1:21">
      <c r="A372" s="13">
        <v>45778</v>
      </c>
      <c r="B372" s="12">
        <v>123704169</v>
      </c>
      <c r="C372" s="12">
        <v>1981</v>
      </c>
      <c r="D372" s="12" t="s">
        <v>94</v>
      </c>
      <c r="E372" s="12" t="s">
        <v>50</v>
      </c>
      <c r="F372" s="12" t="s">
        <v>91</v>
      </c>
      <c r="G372" s="12" t="s">
        <v>92</v>
      </c>
      <c r="H372" s="12" t="s">
        <v>58</v>
      </c>
      <c r="I372" s="12" t="s">
        <v>37</v>
      </c>
      <c r="J372" s="12">
        <v>0.973</v>
      </c>
      <c r="K372" s="12" t="s">
        <v>93</v>
      </c>
      <c r="L372" s="12" t="s">
        <v>60</v>
      </c>
      <c r="M372" s="12" t="s">
        <v>48</v>
      </c>
      <c r="N372" s="12" t="s">
        <v>12</v>
      </c>
      <c r="O372" s="12" t="s">
        <v>6</v>
      </c>
      <c r="P372" s="12">
        <v>0</v>
      </c>
      <c r="Q372" s="12">
        <v>2</v>
      </c>
      <c r="R372" s="12" t="s">
        <v>11</v>
      </c>
      <c r="S372" s="12" t="s">
        <v>48</v>
      </c>
      <c r="T372" s="12" t="s">
        <v>48</v>
      </c>
      <c r="U372" s="12">
        <v>99</v>
      </c>
    </row>
    <row r="373" spans="1:21">
      <c r="A373" s="13">
        <v>45870</v>
      </c>
      <c r="B373" s="12">
        <v>123565769</v>
      </c>
      <c r="C373" s="12">
        <v>1979</v>
      </c>
      <c r="D373" s="12" t="s">
        <v>83</v>
      </c>
      <c r="E373" s="12" t="s">
        <v>50</v>
      </c>
      <c r="F373" s="12" t="s">
        <v>80</v>
      </c>
      <c r="G373" s="12" t="s">
        <v>81</v>
      </c>
      <c r="H373" s="12" t="s">
        <v>36</v>
      </c>
      <c r="I373" s="12" t="s">
        <v>45</v>
      </c>
      <c r="J373" s="12">
        <v>1.12</v>
      </c>
      <c r="K373" s="12" t="s">
        <v>82</v>
      </c>
      <c r="L373" s="12" t="s">
        <v>65</v>
      </c>
      <c r="M373" s="12" t="s">
        <v>66</v>
      </c>
      <c r="N373" s="12" t="s">
        <v>14</v>
      </c>
      <c r="O373" s="12" t="s">
        <v>6</v>
      </c>
      <c r="P373" s="12">
        <v>0</v>
      </c>
      <c r="Q373" s="12">
        <v>1</v>
      </c>
      <c r="R373" s="12" t="s">
        <v>11</v>
      </c>
      <c r="S373" s="12" t="s">
        <v>48</v>
      </c>
      <c r="T373" s="12" t="s">
        <v>48</v>
      </c>
      <c r="U373" s="12">
        <v>502</v>
      </c>
    </row>
    <row r="374" spans="1:21">
      <c r="A374" s="13">
        <v>45778</v>
      </c>
      <c r="B374" s="12">
        <v>123517868</v>
      </c>
      <c r="C374" s="12">
        <v>1981</v>
      </c>
      <c r="D374" s="12" t="s">
        <v>83</v>
      </c>
      <c r="E374" s="12" t="s">
        <v>33</v>
      </c>
      <c r="F374" s="12" t="s">
        <v>34</v>
      </c>
      <c r="G374" s="12" t="s">
        <v>35</v>
      </c>
      <c r="H374" s="12" t="s">
        <v>36</v>
      </c>
      <c r="I374" s="12" t="s">
        <v>37</v>
      </c>
      <c r="J374" s="12">
        <v>0.928</v>
      </c>
      <c r="K374" s="12" t="s">
        <v>38</v>
      </c>
      <c r="L374" s="12" t="s">
        <v>60</v>
      </c>
      <c r="M374" s="12" t="s">
        <v>48</v>
      </c>
      <c r="N374" s="12" t="s">
        <v>12</v>
      </c>
      <c r="O374" s="12" t="s">
        <v>6</v>
      </c>
      <c r="P374" s="12">
        <v>0</v>
      </c>
      <c r="Q374" s="12">
        <v>2</v>
      </c>
      <c r="R374" s="12" t="s">
        <v>13</v>
      </c>
      <c r="S374" s="12" t="s">
        <v>48</v>
      </c>
      <c r="T374" s="12" t="s">
        <v>48</v>
      </c>
      <c r="U374" s="12">
        <v>510</v>
      </c>
    </row>
    <row r="375" spans="1:21">
      <c r="A375" s="13">
        <v>45778</v>
      </c>
      <c r="B375" s="12">
        <v>123523958</v>
      </c>
      <c r="C375" s="12">
        <v>1990</v>
      </c>
      <c r="D375" s="12" t="s">
        <v>83</v>
      </c>
      <c r="E375" s="12" t="s">
        <v>33</v>
      </c>
      <c r="F375" s="12" t="s">
        <v>62</v>
      </c>
      <c r="G375" s="12" t="s">
        <v>63</v>
      </c>
      <c r="H375" s="12" t="s">
        <v>58</v>
      </c>
      <c r="I375" s="12" t="s">
        <v>45</v>
      </c>
      <c r="J375" s="12">
        <v>0.868</v>
      </c>
      <c r="K375" s="12" t="s">
        <v>64</v>
      </c>
      <c r="L375" s="12" t="s">
        <v>39</v>
      </c>
      <c r="M375" s="12" t="s">
        <v>40</v>
      </c>
      <c r="N375" s="12" t="s">
        <v>14</v>
      </c>
      <c r="O375" s="12" t="s">
        <v>6</v>
      </c>
      <c r="P375" s="12">
        <v>0</v>
      </c>
      <c r="Q375" s="12">
        <v>1</v>
      </c>
      <c r="R375" s="12" t="s">
        <v>13</v>
      </c>
      <c r="S375" s="12" t="s">
        <v>48</v>
      </c>
      <c r="T375" s="12" t="s">
        <v>48</v>
      </c>
      <c r="U375" s="12">
        <v>1574</v>
      </c>
    </row>
    <row r="376" spans="1:21">
      <c r="A376" s="13">
        <v>45962</v>
      </c>
      <c r="B376" s="12">
        <v>123835370</v>
      </c>
      <c r="C376" s="12">
        <v>1998</v>
      </c>
      <c r="D376" s="12" t="s">
        <v>83</v>
      </c>
      <c r="E376" s="12" t="s">
        <v>33</v>
      </c>
      <c r="F376" s="12" t="s">
        <v>34</v>
      </c>
      <c r="G376" s="12" t="s">
        <v>35</v>
      </c>
      <c r="H376" s="12" t="s">
        <v>36</v>
      </c>
      <c r="I376" s="12" t="s">
        <v>45</v>
      </c>
      <c r="J376" s="12">
        <v>0.947</v>
      </c>
      <c r="K376" s="12" t="s">
        <v>38</v>
      </c>
      <c r="L376" s="12" t="s">
        <v>39</v>
      </c>
      <c r="M376" s="12" t="s">
        <v>47</v>
      </c>
      <c r="N376" s="12" t="s">
        <v>14</v>
      </c>
      <c r="O376" s="12" t="s">
        <v>4</v>
      </c>
      <c r="P376" s="12">
        <v>1</v>
      </c>
      <c r="Q376" s="12">
        <v>1</v>
      </c>
      <c r="R376" s="12" t="s">
        <v>13</v>
      </c>
      <c r="S376" s="14">
        <v>0.448611111111111</v>
      </c>
      <c r="T376" s="12" t="s">
        <v>41</v>
      </c>
      <c r="U376" s="12">
        <v>3487</v>
      </c>
    </row>
    <row r="377" spans="1:21">
      <c r="A377" s="13">
        <v>45689</v>
      </c>
      <c r="B377" s="12">
        <v>123730464</v>
      </c>
      <c r="C377" s="12">
        <v>2005</v>
      </c>
      <c r="D377" s="12" t="s">
        <v>61</v>
      </c>
      <c r="E377" s="12" t="s">
        <v>33</v>
      </c>
      <c r="F377" s="12" t="s">
        <v>86</v>
      </c>
      <c r="G377" s="12" t="s">
        <v>87</v>
      </c>
      <c r="H377" s="12" t="s">
        <v>58</v>
      </c>
      <c r="I377" s="12" t="s">
        <v>45</v>
      </c>
      <c r="J377" s="12">
        <v>1.029</v>
      </c>
      <c r="K377" s="12" t="s">
        <v>88</v>
      </c>
      <c r="L377" s="12" t="s">
        <v>60</v>
      </c>
      <c r="M377" s="12" t="s">
        <v>48</v>
      </c>
      <c r="N377" s="12" t="s">
        <v>12</v>
      </c>
      <c r="O377" s="12" t="s">
        <v>6</v>
      </c>
      <c r="P377" s="12">
        <v>0</v>
      </c>
      <c r="Q377" s="12">
        <v>2</v>
      </c>
      <c r="R377" s="12" t="s">
        <v>11</v>
      </c>
      <c r="S377" s="14">
        <v>0.627777777777778</v>
      </c>
      <c r="T377" s="12" t="s">
        <v>67</v>
      </c>
      <c r="U377" s="12">
        <v>336</v>
      </c>
    </row>
    <row r="378" spans="1:21">
      <c r="A378" s="13">
        <v>45901</v>
      </c>
      <c r="B378" s="12">
        <v>123749671</v>
      </c>
      <c r="C378" s="12">
        <v>2002</v>
      </c>
      <c r="D378" s="12" t="s">
        <v>32</v>
      </c>
      <c r="E378" s="12" t="s">
        <v>50</v>
      </c>
      <c r="F378" s="12" t="s">
        <v>62</v>
      </c>
      <c r="G378" s="12" t="s">
        <v>63</v>
      </c>
      <c r="H378" s="12" t="s">
        <v>58</v>
      </c>
      <c r="I378" s="12" t="s">
        <v>45</v>
      </c>
      <c r="J378" s="12">
        <v>1.132</v>
      </c>
      <c r="K378" s="12" t="s">
        <v>64</v>
      </c>
      <c r="L378" s="12" t="s">
        <v>39</v>
      </c>
      <c r="M378" s="12" t="s">
        <v>40</v>
      </c>
      <c r="N378" s="12" t="s">
        <v>14</v>
      </c>
      <c r="O378" s="12" t="s">
        <v>6</v>
      </c>
      <c r="P378" s="12">
        <v>0</v>
      </c>
      <c r="Q378" s="12">
        <v>2</v>
      </c>
      <c r="R378" s="12" t="s">
        <v>13</v>
      </c>
      <c r="S378" s="14">
        <v>0.740277777777778</v>
      </c>
      <c r="T378" s="12" t="s">
        <v>67</v>
      </c>
      <c r="U378" s="12">
        <v>2014</v>
      </c>
    </row>
    <row r="379" spans="1:21">
      <c r="A379" s="13">
        <v>45901</v>
      </c>
      <c r="B379" s="12">
        <v>123861381</v>
      </c>
      <c r="C379" s="12">
        <v>1983</v>
      </c>
      <c r="D379" s="12" t="s">
        <v>90</v>
      </c>
      <c r="E379" s="12" t="s">
        <v>50</v>
      </c>
      <c r="F379" s="12" t="s">
        <v>80</v>
      </c>
      <c r="G379" s="12" t="s">
        <v>81</v>
      </c>
      <c r="H379" s="12" t="s">
        <v>36</v>
      </c>
      <c r="I379" s="12" t="s">
        <v>37</v>
      </c>
      <c r="J379" s="12">
        <v>1.044</v>
      </c>
      <c r="K379" s="12" t="s">
        <v>82</v>
      </c>
      <c r="L379" s="12" t="s">
        <v>39</v>
      </c>
      <c r="M379" s="12" t="s">
        <v>40</v>
      </c>
      <c r="N379" s="12" t="s">
        <v>14</v>
      </c>
      <c r="O379" s="12" t="s">
        <v>4</v>
      </c>
      <c r="P379" s="12">
        <v>1</v>
      </c>
      <c r="Q379" s="12">
        <v>2</v>
      </c>
      <c r="R379" s="12" t="s">
        <v>11</v>
      </c>
      <c r="S379" s="14">
        <v>0.765277777777778</v>
      </c>
      <c r="T379" s="12" t="s">
        <v>67</v>
      </c>
      <c r="U379" s="12">
        <v>5046</v>
      </c>
    </row>
    <row r="380" spans="1:21">
      <c r="A380" s="13">
        <v>45778</v>
      </c>
      <c r="B380" s="12">
        <v>123754257</v>
      </c>
      <c r="C380" s="12">
        <v>2005</v>
      </c>
      <c r="D380" s="12" t="s">
        <v>61</v>
      </c>
      <c r="E380" s="12" t="s">
        <v>50</v>
      </c>
      <c r="F380" s="12" t="s">
        <v>75</v>
      </c>
      <c r="G380" s="12" t="s">
        <v>76</v>
      </c>
      <c r="H380" s="12" t="s">
        <v>53</v>
      </c>
      <c r="I380" s="12" t="s">
        <v>45</v>
      </c>
      <c r="J380" s="12">
        <v>1.188</v>
      </c>
      <c r="K380" s="12" t="s">
        <v>77</v>
      </c>
      <c r="L380" s="12" t="s">
        <v>72</v>
      </c>
      <c r="M380" s="12" t="s">
        <v>95</v>
      </c>
      <c r="N380" s="12" t="s">
        <v>14</v>
      </c>
      <c r="O380" s="12" t="s">
        <v>6</v>
      </c>
      <c r="P380" s="12">
        <v>0</v>
      </c>
      <c r="Q380" s="12">
        <v>2</v>
      </c>
      <c r="R380" s="12" t="s">
        <v>13</v>
      </c>
      <c r="S380" s="14">
        <v>0.84375</v>
      </c>
      <c r="T380" s="12" t="s">
        <v>67</v>
      </c>
      <c r="U380" s="12">
        <v>819</v>
      </c>
    </row>
    <row r="381" spans="1:21">
      <c r="A381" s="13">
        <v>45748</v>
      </c>
      <c r="B381" s="12">
        <v>123798725</v>
      </c>
      <c r="C381" s="12">
        <v>1996</v>
      </c>
      <c r="D381" s="12" t="s">
        <v>79</v>
      </c>
      <c r="E381" s="12" t="s">
        <v>50</v>
      </c>
      <c r="F381" s="12" t="s">
        <v>34</v>
      </c>
      <c r="G381" s="12" t="s">
        <v>35</v>
      </c>
      <c r="H381" s="12" t="s">
        <v>36</v>
      </c>
      <c r="I381" s="12" t="s">
        <v>37</v>
      </c>
      <c r="J381" s="12">
        <v>0.934</v>
      </c>
      <c r="K381" s="12" t="s">
        <v>38</v>
      </c>
      <c r="L381" s="12" t="s">
        <v>39</v>
      </c>
      <c r="M381" s="12" t="s">
        <v>47</v>
      </c>
      <c r="N381" s="12" t="s">
        <v>14</v>
      </c>
      <c r="O381" s="12" t="s">
        <v>6</v>
      </c>
      <c r="P381" s="12">
        <v>0</v>
      </c>
      <c r="Q381" s="12">
        <v>3</v>
      </c>
      <c r="R381" s="12" t="s">
        <v>13</v>
      </c>
      <c r="S381" s="12" t="s">
        <v>48</v>
      </c>
      <c r="T381" s="12" t="s">
        <v>48</v>
      </c>
      <c r="U381" s="12">
        <v>1325</v>
      </c>
    </row>
    <row r="382" spans="1:21">
      <c r="A382" s="13">
        <v>45658</v>
      </c>
      <c r="B382" s="12">
        <v>123502797</v>
      </c>
      <c r="C382" s="12">
        <v>1984</v>
      </c>
      <c r="D382" s="12" t="s">
        <v>32</v>
      </c>
      <c r="E382" s="12" t="s">
        <v>50</v>
      </c>
      <c r="F382" s="12" t="s">
        <v>86</v>
      </c>
      <c r="G382" s="12" t="s">
        <v>87</v>
      </c>
      <c r="H382" s="12" t="s">
        <v>58</v>
      </c>
      <c r="I382" s="12" t="s">
        <v>45</v>
      </c>
      <c r="J382" s="12">
        <v>1.209</v>
      </c>
      <c r="K382" s="12" t="s">
        <v>88</v>
      </c>
      <c r="L382" s="12" t="s">
        <v>39</v>
      </c>
      <c r="M382" s="12" t="s">
        <v>40</v>
      </c>
      <c r="N382" s="12" t="s">
        <v>14</v>
      </c>
      <c r="O382" s="12" t="s">
        <v>5</v>
      </c>
      <c r="P382" s="12">
        <v>4</v>
      </c>
      <c r="Q382" s="12">
        <v>3</v>
      </c>
      <c r="R382" s="12" t="s">
        <v>11</v>
      </c>
      <c r="S382" s="14">
        <v>0.490972222222222</v>
      </c>
      <c r="T382" s="12" t="s">
        <v>41</v>
      </c>
      <c r="U382" s="12">
        <v>27959</v>
      </c>
    </row>
    <row r="383" spans="1:21">
      <c r="A383" s="13">
        <v>45992</v>
      </c>
      <c r="B383" s="12">
        <v>123919014</v>
      </c>
      <c r="C383" s="12">
        <v>1991</v>
      </c>
      <c r="D383" s="12" t="s">
        <v>83</v>
      </c>
      <c r="E383" s="12" t="s">
        <v>33</v>
      </c>
      <c r="F383" s="12" t="s">
        <v>34</v>
      </c>
      <c r="G383" s="12" t="s">
        <v>35</v>
      </c>
      <c r="H383" s="12" t="s">
        <v>36</v>
      </c>
      <c r="I383" s="12" t="s">
        <v>37</v>
      </c>
      <c r="J383" s="12">
        <v>1.009</v>
      </c>
      <c r="K383" s="12" t="s">
        <v>38</v>
      </c>
      <c r="L383" s="12" t="s">
        <v>99</v>
      </c>
      <c r="M383" s="12" t="s">
        <v>48</v>
      </c>
      <c r="N383" s="12" t="s">
        <v>12</v>
      </c>
      <c r="O383" s="12" t="s">
        <v>4</v>
      </c>
      <c r="P383" s="12">
        <v>1</v>
      </c>
      <c r="Q383" s="12">
        <v>3</v>
      </c>
      <c r="R383" s="12" t="s">
        <v>11</v>
      </c>
      <c r="S383" s="14">
        <v>0.71875</v>
      </c>
      <c r="T383" s="12" t="s">
        <v>67</v>
      </c>
      <c r="U383" s="12">
        <v>7374</v>
      </c>
    </row>
    <row r="384" spans="1:21">
      <c r="A384" s="13">
        <v>45992</v>
      </c>
      <c r="B384" s="12">
        <v>123700136</v>
      </c>
      <c r="C384" s="12">
        <v>2003</v>
      </c>
      <c r="D384" s="12" t="s">
        <v>74</v>
      </c>
      <c r="E384" s="12" t="s">
        <v>50</v>
      </c>
      <c r="F384" s="12" t="s">
        <v>91</v>
      </c>
      <c r="G384" s="12" t="s">
        <v>92</v>
      </c>
      <c r="H384" s="12" t="s">
        <v>58</v>
      </c>
      <c r="I384" s="12" t="s">
        <v>37</v>
      </c>
      <c r="J384" s="12">
        <v>1.123</v>
      </c>
      <c r="K384" s="12" t="s">
        <v>93</v>
      </c>
      <c r="L384" s="12" t="s">
        <v>60</v>
      </c>
      <c r="M384" s="12" t="s">
        <v>48</v>
      </c>
      <c r="N384" s="12" t="s">
        <v>12</v>
      </c>
      <c r="O384" s="12" t="s">
        <v>5</v>
      </c>
      <c r="P384" s="12">
        <v>7</v>
      </c>
      <c r="Q384" s="12">
        <v>2</v>
      </c>
      <c r="R384" s="12" t="s">
        <v>11</v>
      </c>
      <c r="S384" s="14">
        <v>0.30625</v>
      </c>
      <c r="T384" s="12" t="s">
        <v>41</v>
      </c>
      <c r="U384" s="12">
        <v>31800</v>
      </c>
    </row>
    <row r="385" spans="1:21">
      <c r="A385" s="13">
        <v>45717</v>
      </c>
      <c r="B385" s="12">
        <v>123540435</v>
      </c>
      <c r="C385" s="12">
        <v>1990</v>
      </c>
      <c r="D385" s="12" t="s">
        <v>61</v>
      </c>
      <c r="E385" s="12" t="s">
        <v>33</v>
      </c>
      <c r="F385" s="12" t="s">
        <v>62</v>
      </c>
      <c r="G385" s="12" t="s">
        <v>63</v>
      </c>
      <c r="H385" s="12" t="s">
        <v>58</v>
      </c>
      <c r="I385" s="12" t="s">
        <v>45</v>
      </c>
      <c r="J385" s="12">
        <v>0.868</v>
      </c>
      <c r="K385" s="12" t="s">
        <v>64</v>
      </c>
      <c r="L385" s="12" t="s">
        <v>60</v>
      </c>
      <c r="M385" s="12" t="s">
        <v>48</v>
      </c>
      <c r="N385" s="12" t="s">
        <v>12</v>
      </c>
      <c r="O385" s="12" t="s">
        <v>6</v>
      </c>
      <c r="P385" s="12">
        <v>0</v>
      </c>
      <c r="Q385" s="12">
        <v>2</v>
      </c>
      <c r="R385" s="12" t="s">
        <v>11</v>
      </c>
      <c r="S385" s="14">
        <v>0.8125</v>
      </c>
      <c r="T385" s="12" t="s">
        <v>67</v>
      </c>
      <c r="U385" s="12">
        <v>533</v>
      </c>
    </row>
    <row r="386" spans="1:21">
      <c r="A386" s="13">
        <v>45658</v>
      </c>
      <c r="B386" s="12">
        <v>123898449</v>
      </c>
      <c r="C386" s="12">
        <v>1963</v>
      </c>
      <c r="D386" s="12" t="s">
        <v>61</v>
      </c>
      <c r="E386" s="12" t="s">
        <v>50</v>
      </c>
      <c r="F386" s="12" t="s">
        <v>91</v>
      </c>
      <c r="G386" s="12" t="s">
        <v>92</v>
      </c>
      <c r="H386" s="12" t="s">
        <v>58</v>
      </c>
      <c r="I386" s="12" t="s">
        <v>45</v>
      </c>
      <c r="J386" s="12">
        <v>1</v>
      </c>
      <c r="K386" s="12" t="s">
        <v>93</v>
      </c>
      <c r="L386" s="12" t="s">
        <v>39</v>
      </c>
      <c r="M386" s="12" t="s">
        <v>47</v>
      </c>
      <c r="N386" s="12" t="s">
        <v>14</v>
      </c>
      <c r="O386" s="12" t="s">
        <v>4</v>
      </c>
      <c r="P386" s="12">
        <v>1</v>
      </c>
      <c r="Q386" s="12">
        <v>2</v>
      </c>
      <c r="R386" s="12" t="s">
        <v>11</v>
      </c>
      <c r="S386" s="14">
        <v>0.884027777777778</v>
      </c>
      <c r="T386" s="12" t="s">
        <v>67</v>
      </c>
      <c r="U386" s="12">
        <v>3318</v>
      </c>
    </row>
    <row r="387" spans="1:21">
      <c r="A387" s="13">
        <v>45689</v>
      </c>
      <c r="B387" s="12">
        <v>123855633</v>
      </c>
      <c r="C387" s="12">
        <v>2002</v>
      </c>
      <c r="D387" s="12" t="s">
        <v>97</v>
      </c>
      <c r="E387" s="12" t="s">
        <v>50</v>
      </c>
      <c r="F387" s="12" t="s">
        <v>86</v>
      </c>
      <c r="G387" s="12" t="s">
        <v>87</v>
      </c>
      <c r="H387" s="12" t="s">
        <v>58</v>
      </c>
      <c r="I387" s="12" t="s">
        <v>45</v>
      </c>
      <c r="J387" s="12">
        <v>1.024</v>
      </c>
      <c r="K387" s="12" t="s">
        <v>88</v>
      </c>
      <c r="L387" s="12" t="s">
        <v>39</v>
      </c>
      <c r="M387" s="12" t="s">
        <v>78</v>
      </c>
      <c r="N387" s="12" t="s">
        <v>14</v>
      </c>
      <c r="O387" s="12" t="s">
        <v>6</v>
      </c>
      <c r="P387" s="12">
        <v>0</v>
      </c>
      <c r="Q387" s="12">
        <v>2</v>
      </c>
      <c r="R387" s="12" t="s">
        <v>11</v>
      </c>
      <c r="S387" s="12" t="s">
        <v>48</v>
      </c>
      <c r="T387" s="12" t="s">
        <v>48</v>
      </c>
      <c r="U387" s="12">
        <v>757</v>
      </c>
    </row>
    <row r="388" spans="1:21">
      <c r="A388" s="13">
        <v>45658</v>
      </c>
      <c r="B388" s="12">
        <v>123484846</v>
      </c>
      <c r="C388" s="12">
        <v>2004</v>
      </c>
      <c r="D388" s="12" t="s">
        <v>49</v>
      </c>
      <c r="E388" s="12" t="s">
        <v>50</v>
      </c>
      <c r="F388" s="12" t="s">
        <v>34</v>
      </c>
      <c r="G388" s="12" t="s">
        <v>35</v>
      </c>
      <c r="H388" s="12" t="s">
        <v>36</v>
      </c>
      <c r="I388" s="12" t="s">
        <v>45</v>
      </c>
      <c r="J388" s="12">
        <v>1.076</v>
      </c>
      <c r="K388" s="12" t="s">
        <v>38</v>
      </c>
      <c r="L388" s="12" t="s">
        <v>72</v>
      </c>
      <c r="M388" s="12" t="s">
        <v>95</v>
      </c>
      <c r="N388" s="12" t="s">
        <v>14</v>
      </c>
      <c r="O388" s="12" t="s">
        <v>4</v>
      </c>
      <c r="P388" s="12">
        <v>1</v>
      </c>
      <c r="Q388" s="12">
        <v>1</v>
      </c>
      <c r="R388" s="12" t="s">
        <v>11</v>
      </c>
      <c r="S388" s="12" t="s">
        <v>48</v>
      </c>
      <c r="T388" s="12" t="s">
        <v>48</v>
      </c>
      <c r="U388" s="12">
        <v>7462</v>
      </c>
    </row>
    <row r="389" spans="1:21">
      <c r="A389" s="13">
        <v>45931</v>
      </c>
      <c r="B389" s="12">
        <v>123561014</v>
      </c>
      <c r="C389" s="12">
        <v>1956</v>
      </c>
      <c r="D389" s="12" t="s">
        <v>61</v>
      </c>
      <c r="E389" s="12" t="s">
        <v>50</v>
      </c>
      <c r="F389" s="12" t="s">
        <v>51</v>
      </c>
      <c r="G389" s="12" t="s">
        <v>52</v>
      </c>
      <c r="H389" s="12" t="s">
        <v>53</v>
      </c>
      <c r="I389" s="12" t="s">
        <v>37</v>
      </c>
      <c r="J389" s="12">
        <v>0.961</v>
      </c>
      <c r="K389" s="12" t="s">
        <v>54</v>
      </c>
      <c r="L389" s="12" t="s">
        <v>72</v>
      </c>
      <c r="M389" s="12" t="s">
        <v>73</v>
      </c>
      <c r="N389" s="12" t="s">
        <v>14</v>
      </c>
      <c r="O389" s="12" t="s">
        <v>5</v>
      </c>
      <c r="P389" s="12">
        <v>5</v>
      </c>
      <c r="Q389" s="12">
        <v>2</v>
      </c>
      <c r="R389" s="12" t="s">
        <v>13</v>
      </c>
      <c r="S389" s="14">
        <v>0.445833333333333</v>
      </c>
      <c r="T389" s="12" t="s">
        <v>41</v>
      </c>
      <c r="U389" s="12">
        <v>63741</v>
      </c>
    </row>
    <row r="390" spans="1:21">
      <c r="A390" s="13">
        <v>45962</v>
      </c>
      <c r="B390" s="12">
        <v>123464567</v>
      </c>
      <c r="C390" s="12">
        <v>1958</v>
      </c>
      <c r="D390" s="12" t="s">
        <v>79</v>
      </c>
      <c r="E390" s="12" t="s">
        <v>33</v>
      </c>
      <c r="F390" s="12" t="s">
        <v>34</v>
      </c>
      <c r="G390" s="12" t="s">
        <v>35</v>
      </c>
      <c r="H390" s="12" t="s">
        <v>36</v>
      </c>
      <c r="I390" s="12" t="s">
        <v>45</v>
      </c>
      <c r="J390" s="12">
        <v>0.963</v>
      </c>
      <c r="K390" s="12" t="s">
        <v>38</v>
      </c>
      <c r="L390" s="12" t="s">
        <v>39</v>
      </c>
      <c r="M390" s="12" t="s">
        <v>78</v>
      </c>
      <c r="N390" s="12" t="s">
        <v>14</v>
      </c>
      <c r="O390" s="12" t="s">
        <v>4</v>
      </c>
      <c r="P390" s="12">
        <v>1</v>
      </c>
      <c r="Q390" s="12">
        <v>1</v>
      </c>
      <c r="R390" s="12" t="s">
        <v>11</v>
      </c>
      <c r="S390" s="14">
        <v>0.623611111111111</v>
      </c>
      <c r="T390" s="12" t="s">
        <v>67</v>
      </c>
      <c r="U390" s="12">
        <v>8257</v>
      </c>
    </row>
    <row r="391" spans="1:21">
      <c r="A391" s="13">
        <v>45689</v>
      </c>
      <c r="B391" s="12">
        <v>123603292</v>
      </c>
      <c r="C391" s="12">
        <v>2002</v>
      </c>
      <c r="D391" s="12" t="s">
        <v>61</v>
      </c>
      <c r="E391" s="12" t="s">
        <v>50</v>
      </c>
      <c r="F391" s="12" t="s">
        <v>34</v>
      </c>
      <c r="G391" s="12" t="s">
        <v>35</v>
      </c>
      <c r="H391" s="12" t="s">
        <v>36</v>
      </c>
      <c r="I391" s="12" t="s">
        <v>45</v>
      </c>
      <c r="J391" s="12">
        <v>0.851</v>
      </c>
      <c r="K391" s="12" t="s">
        <v>38</v>
      </c>
      <c r="L391" s="12" t="s">
        <v>65</v>
      </c>
      <c r="M391" s="12" t="s">
        <v>96</v>
      </c>
      <c r="N391" s="12" t="s">
        <v>14</v>
      </c>
      <c r="O391" s="12" t="s">
        <v>6</v>
      </c>
      <c r="P391" s="12">
        <v>0</v>
      </c>
      <c r="Q391" s="12">
        <v>1</v>
      </c>
      <c r="R391" s="12" t="s">
        <v>11</v>
      </c>
      <c r="S391" s="12" t="s">
        <v>48</v>
      </c>
      <c r="T391" s="12" t="s">
        <v>48</v>
      </c>
      <c r="U391" s="12">
        <v>652</v>
      </c>
    </row>
    <row r="392" spans="1:21">
      <c r="A392" s="13">
        <v>45901</v>
      </c>
      <c r="B392" s="12">
        <v>123510389</v>
      </c>
      <c r="C392" s="12">
        <v>1991</v>
      </c>
      <c r="D392" s="12" t="s">
        <v>90</v>
      </c>
      <c r="E392" s="12" t="s">
        <v>50</v>
      </c>
      <c r="F392" s="12" t="s">
        <v>86</v>
      </c>
      <c r="G392" s="12" t="s">
        <v>87</v>
      </c>
      <c r="H392" s="12" t="s">
        <v>58</v>
      </c>
      <c r="I392" s="12" t="s">
        <v>45</v>
      </c>
      <c r="J392" s="12">
        <v>1.161</v>
      </c>
      <c r="K392" s="12" t="s">
        <v>88</v>
      </c>
      <c r="L392" s="12" t="s">
        <v>99</v>
      </c>
      <c r="M392" s="12" t="s">
        <v>48</v>
      </c>
      <c r="N392" s="12" t="s">
        <v>12</v>
      </c>
      <c r="O392" s="12" t="s">
        <v>6</v>
      </c>
      <c r="P392" s="12">
        <v>0</v>
      </c>
      <c r="Q392" s="12">
        <v>3</v>
      </c>
      <c r="R392" s="12" t="s">
        <v>13</v>
      </c>
      <c r="S392" s="12" t="s">
        <v>48</v>
      </c>
      <c r="T392" s="12" t="s">
        <v>48</v>
      </c>
      <c r="U392" s="12">
        <v>1673</v>
      </c>
    </row>
    <row r="393" spans="1:21">
      <c r="A393" s="13">
        <v>45717</v>
      </c>
      <c r="B393" s="12">
        <v>123842187</v>
      </c>
      <c r="C393" s="12">
        <v>1984</v>
      </c>
      <c r="D393" s="12" t="s">
        <v>79</v>
      </c>
      <c r="E393" s="12" t="s">
        <v>33</v>
      </c>
      <c r="F393" s="12" t="s">
        <v>51</v>
      </c>
      <c r="G393" s="12" t="s">
        <v>52</v>
      </c>
      <c r="H393" s="12" t="s">
        <v>53</v>
      </c>
      <c r="I393" s="12" t="s">
        <v>45</v>
      </c>
      <c r="J393" s="12">
        <v>1.088</v>
      </c>
      <c r="K393" s="12" t="s">
        <v>54</v>
      </c>
      <c r="L393" s="12" t="s">
        <v>72</v>
      </c>
      <c r="M393" s="12" t="s">
        <v>73</v>
      </c>
      <c r="N393" s="12" t="s">
        <v>14</v>
      </c>
      <c r="O393" s="12" t="s">
        <v>5</v>
      </c>
      <c r="P393" s="12">
        <v>6</v>
      </c>
      <c r="Q393" s="12">
        <v>1</v>
      </c>
      <c r="R393" s="12" t="s">
        <v>11</v>
      </c>
      <c r="S393" s="14">
        <v>0.797916666666667</v>
      </c>
      <c r="T393" s="12" t="s">
        <v>67</v>
      </c>
      <c r="U393" s="12">
        <v>66597</v>
      </c>
    </row>
    <row r="394" spans="1:21">
      <c r="A394" s="13">
        <v>45778</v>
      </c>
      <c r="B394" s="12">
        <v>123740268</v>
      </c>
      <c r="C394" s="12">
        <v>1964</v>
      </c>
      <c r="D394" s="12" t="s">
        <v>83</v>
      </c>
      <c r="E394" s="12" t="s">
        <v>50</v>
      </c>
      <c r="F394" s="12" t="s">
        <v>91</v>
      </c>
      <c r="G394" s="12" t="s">
        <v>92</v>
      </c>
      <c r="H394" s="12" t="s">
        <v>58</v>
      </c>
      <c r="I394" s="12" t="s">
        <v>37</v>
      </c>
      <c r="J394" s="12">
        <v>1.129</v>
      </c>
      <c r="K394" s="12" t="s">
        <v>93</v>
      </c>
      <c r="L394" s="12" t="s">
        <v>39</v>
      </c>
      <c r="M394" s="12" t="s">
        <v>78</v>
      </c>
      <c r="N394" s="12" t="s">
        <v>14</v>
      </c>
      <c r="O394" s="12" t="s">
        <v>6</v>
      </c>
      <c r="P394" s="12">
        <v>0</v>
      </c>
      <c r="Q394" s="12">
        <v>2</v>
      </c>
      <c r="R394" s="12" t="s">
        <v>11</v>
      </c>
      <c r="S394" s="14">
        <v>0.402777777777778</v>
      </c>
      <c r="T394" s="12" t="s">
        <v>41</v>
      </c>
      <c r="U394" s="12">
        <v>140</v>
      </c>
    </row>
    <row r="395" spans="1:21">
      <c r="A395" s="13">
        <v>45870</v>
      </c>
      <c r="B395" s="12">
        <v>123989230</v>
      </c>
      <c r="C395" s="12">
        <v>1977</v>
      </c>
      <c r="D395" s="12" t="s">
        <v>61</v>
      </c>
      <c r="E395" s="12" t="s">
        <v>50</v>
      </c>
      <c r="F395" s="12" t="s">
        <v>91</v>
      </c>
      <c r="G395" s="12" t="s">
        <v>92</v>
      </c>
      <c r="H395" s="12" t="s">
        <v>58</v>
      </c>
      <c r="I395" s="12" t="s">
        <v>45</v>
      </c>
      <c r="J395" s="12">
        <v>0.946</v>
      </c>
      <c r="K395" s="12" t="s">
        <v>93</v>
      </c>
      <c r="L395" s="12" t="s">
        <v>39</v>
      </c>
      <c r="M395" s="12" t="s">
        <v>78</v>
      </c>
      <c r="N395" s="12" t="s">
        <v>14</v>
      </c>
      <c r="O395" s="12" t="s">
        <v>6</v>
      </c>
      <c r="P395" s="12">
        <v>0</v>
      </c>
      <c r="Q395" s="12">
        <v>2</v>
      </c>
      <c r="R395" s="12" t="s">
        <v>11</v>
      </c>
      <c r="S395" s="14">
        <v>0.348611111111111</v>
      </c>
      <c r="T395" s="12" t="s">
        <v>41</v>
      </c>
      <c r="U395" s="12">
        <v>261</v>
      </c>
    </row>
    <row r="396" spans="1:21">
      <c r="A396" s="13">
        <v>45901</v>
      </c>
      <c r="B396" s="12">
        <v>123863685</v>
      </c>
      <c r="C396" s="12">
        <v>1992</v>
      </c>
      <c r="D396" s="12" t="s">
        <v>90</v>
      </c>
      <c r="E396" s="12" t="s">
        <v>50</v>
      </c>
      <c r="F396" s="12" t="s">
        <v>51</v>
      </c>
      <c r="G396" s="12" t="s">
        <v>52</v>
      </c>
      <c r="H396" s="12" t="s">
        <v>53</v>
      </c>
      <c r="I396" s="12" t="s">
        <v>45</v>
      </c>
      <c r="J396" s="12">
        <v>1.123</v>
      </c>
      <c r="K396" s="12" t="s">
        <v>54</v>
      </c>
      <c r="L396" s="12" t="s">
        <v>39</v>
      </c>
      <c r="M396" s="12" t="s">
        <v>78</v>
      </c>
      <c r="N396" s="12" t="s">
        <v>14</v>
      </c>
      <c r="O396" s="12" t="s">
        <v>4</v>
      </c>
      <c r="P396" s="12">
        <v>1</v>
      </c>
      <c r="Q396" s="12">
        <v>1</v>
      </c>
      <c r="R396" s="12" t="s">
        <v>13</v>
      </c>
      <c r="S396" s="14">
        <v>0.796527777777778</v>
      </c>
      <c r="T396" s="12" t="s">
        <v>67</v>
      </c>
      <c r="U396" s="12">
        <v>6052</v>
      </c>
    </row>
    <row r="397" spans="1:21">
      <c r="A397" s="13">
        <v>45962</v>
      </c>
      <c r="B397" s="12">
        <v>123788679</v>
      </c>
      <c r="C397" s="12">
        <v>1997</v>
      </c>
      <c r="D397" s="12" t="s">
        <v>49</v>
      </c>
      <c r="E397" s="12" t="s">
        <v>50</v>
      </c>
      <c r="F397" s="12" t="s">
        <v>34</v>
      </c>
      <c r="G397" s="12" t="s">
        <v>35</v>
      </c>
      <c r="H397" s="12" t="s">
        <v>36</v>
      </c>
      <c r="I397" s="12" t="s">
        <v>37</v>
      </c>
      <c r="J397" s="12">
        <v>1.226</v>
      </c>
      <c r="K397" s="12" t="s">
        <v>38</v>
      </c>
      <c r="L397" s="12" t="s">
        <v>39</v>
      </c>
      <c r="M397" s="12" t="s">
        <v>40</v>
      </c>
      <c r="N397" s="12" t="s">
        <v>14</v>
      </c>
      <c r="O397" s="12" t="s">
        <v>5</v>
      </c>
      <c r="P397" s="12">
        <v>4</v>
      </c>
      <c r="Q397" s="12">
        <v>3</v>
      </c>
      <c r="R397" s="12" t="s">
        <v>11</v>
      </c>
      <c r="S397" s="12" t="s">
        <v>48</v>
      </c>
      <c r="T397" s="12" t="s">
        <v>48</v>
      </c>
      <c r="U397" s="12">
        <v>29827</v>
      </c>
    </row>
    <row r="398" spans="1:21">
      <c r="A398" s="13">
        <v>45658</v>
      </c>
      <c r="B398" s="12">
        <v>123733065</v>
      </c>
      <c r="C398" s="12">
        <v>1971</v>
      </c>
      <c r="D398" s="12" t="s">
        <v>83</v>
      </c>
      <c r="E398" s="12" t="s">
        <v>33</v>
      </c>
      <c r="F398" s="12" t="s">
        <v>51</v>
      </c>
      <c r="G398" s="12" t="s">
        <v>52</v>
      </c>
      <c r="H398" s="12" t="s">
        <v>53</v>
      </c>
      <c r="I398" s="12" t="s">
        <v>45</v>
      </c>
      <c r="J398" s="12">
        <v>0.796</v>
      </c>
      <c r="K398" s="12" t="s">
        <v>54</v>
      </c>
      <c r="L398" s="12" t="s">
        <v>72</v>
      </c>
      <c r="M398" s="12" t="s">
        <v>95</v>
      </c>
      <c r="N398" s="12" t="s">
        <v>14</v>
      </c>
      <c r="O398" s="12" t="s">
        <v>6</v>
      </c>
      <c r="P398" s="12">
        <v>0</v>
      </c>
      <c r="Q398" s="12">
        <v>1</v>
      </c>
      <c r="R398" s="12" t="s">
        <v>11</v>
      </c>
      <c r="S398" s="12" t="s">
        <v>48</v>
      </c>
      <c r="T398" s="12" t="s">
        <v>48</v>
      </c>
      <c r="U398" s="12">
        <v>1503</v>
      </c>
    </row>
    <row r="399" spans="1:21">
      <c r="A399" s="13">
        <v>45717</v>
      </c>
      <c r="B399" s="12">
        <v>123485648</v>
      </c>
      <c r="C399" s="12">
        <v>1970</v>
      </c>
      <c r="D399" s="12" t="s">
        <v>74</v>
      </c>
      <c r="E399" s="12" t="s">
        <v>50</v>
      </c>
      <c r="F399" s="12" t="s">
        <v>86</v>
      </c>
      <c r="G399" s="12" t="s">
        <v>87</v>
      </c>
      <c r="H399" s="12" t="s">
        <v>58</v>
      </c>
      <c r="I399" s="12" t="s">
        <v>45</v>
      </c>
      <c r="J399" s="12">
        <v>1.171</v>
      </c>
      <c r="K399" s="12" t="s">
        <v>88</v>
      </c>
      <c r="L399" s="12" t="s">
        <v>72</v>
      </c>
      <c r="M399" s="12" t="s">
        <v>95</v>
      </c>
      <c r="N399" s="12" t="s">
        <v>14</v>
      </c>
      <c r="O399" s="12" t="s">
        <v>6</v>
      </c>
      <c r="P399" s="12">
        <v>0</v>
      </c>
      <c r="Q399" s="12">
        <v>3</v>
      </c>
      <c r="R399" s="12" t="s">
        <v>13</v>
      </c>
      <c r="S399" s="12" t="s">
        <v>48</v>
      </c>
      <c r="T399" s="12" t="s">
        <v>48</v>
      </c>
      <c r="U399" s="12">
        <v>2308</v>
      </c>
    </row>
    <row r="400" spans="1:21">
      <c r="A400" s="13">
        <v>45748</v>
      </c>
      <c r="B400" s="12">
        <v>123494189</v>
      </c>
      <c r="C400" s="12">
        <v>1974</v>
      </c>
      <c r="D400" s="12" t="s">
        <v>61</v>
      </c>
      <c r="E400" s="12" t="s">
        <v>50</v>
      </c>
      <c r="F400" s="12" t="s">
        <v>91</v>
      </c>
      <c r="G400" s="12" t="s">
        <v>92</v>
      </c>
      <c r="H400" s="12" t="s">
        <v>58</v>
      </c>
      <c r="I400" s="12" t="s">
        <v>45</v>
      </c>
      <c r="J400" s="12">
        <v>1.166</v>
      </c>
      <c r="K400" s="12" t="s">
        <v>93</v>
      </c>
      <c r="L400" s="12" t="s">
        <v>72</v>
      </c>
      <c r="M400" s="12" t="s">
        <v>95</v>
      </c>
      <c r="N400" s="12" t="s">
        <v>14</v>
      </c>
      <c r="O400" s="12" t="s">
        <v>6</v>
      </c>
      <c r="P400" s="12">
        <v>0</v>
      </c>
      <c r="Q400" s="12">
        <v>2</v>
      </c>
      <c r="R400" s="12" t="s">
        <v>13</v>
      </c>
      <c r="S400" s="12" t="s">
        <v>48</v>
      </c>
      <c r="T400" s="12" t="s">
        <v>48</v>
      </c>
      <c r="U400" s="12">
        <v>301</v>
      </c>
    </row>
    <row r="401" spans="1:21">
      <c r="A401" s="13">
        <v>45748</v>
      </c>
      <c r="B401" s="12">
        <v>123791271</v>
      </c>
      <c r="C401" s="12">
        <v>1999</v>
      </c>
      <c r="D401" s="12" t="s">
        <v>98</v>
      </c>
      <c r="E401" s="12" t="s">
        <v>50</v>
      </c>
      <c r="F401" s="12" t="s">
        <v>80</v>
      </c>
      <c r="G401" s="12" t="s">
        <v>81</v>
      </c>
      <c r="H401" s="12" t="s">
        <v>36</v>
      </c>
      <c r="I401" s="12" t="s">
        <v>45</v>
      </c>
      <c r="J401" s="12">
        <v>1.004</v>
      </c>
      <c r="K401" s="12" t="s">
        <v>82</v>
      </c>
      <c r="L401" s="12" t="s">
        <v>65</v>
      </c>
      <c r="M401" s="12" t="s">
        <v>96</v>
      </c>
      <c r="N401" s="12" t="s">
        <v>14</v>
      </c>
      <c r="O401" s="12" t="s">
        <v>6</v>
      </c>
      <c r="P401" s="12">
        <v>0</v>
      </c>
      <c r="Q401" s="12">
        <v>1</v>
      </c>
      <c r="R401" s="12" t="s">
        <v>13</v>
      </c>
      <c r="S401" s="12" t="s">
        <v>48</v>
      </c>
      <c r="T401" s="12" t="s">
        <v>48</v>
      </c>
      <c r="U401" s="12">
        <v>2124</v>
      </c>
    </row>
    <row r="402" spans="1:21">
      <c r="A402" s="13">
        <v>45992</v>
      </c>
      <c r="B402" s="12">
        <v>123458382</v>
      </c>
      <c r="C402" s="12">
        <v>1980</v>
      </c>
      <c r="D402" s="12" t="s">
        <v>90</v>
      </c>
      <c r="E402" s="12" t="s">
        <v>50</v>
      </c>
      <c r="F402" s="12" t="s">
        <v>80</v>
      </c>
      <c r="G402" s="12" t="s">
        <v>81</v>
      </c>
      <c r="H402" s="12" t="s">
        <v>36</v>
      </c>
      <c r="I402" s="12" t="s">
        <v>45</v>
      </c>
      <c r="J402" s="12">
        <v>0.909</v>
      </c>
      <c r="K402" s="12" t="s">
        <v>82</v>
      </c>
      <c r="L402" s="12" t="s">
        <v>39</v>
      </c>
      <c r="M402" s="12" t="s">
        <v>40</v>
      </c>
      <c r="N402" s="12" t="s">
        <v>14</v>
      </c>
      <c r="O402" s="12" t="s">
        <v>6</v>
      </c>
      <c r="P402" s="12">
        <v>0</v>
      </c>
      <c r="Q402" s="12">
        <v>1</v>
      </c>
      <c r="R402" s="12" t="s">
        <v>13</v>
      </c>
      <c r="S402" s="12" t="s">
        <v>48</v>
      </c>
      <c r="T402" s="12" t="s">
        <v>48</v>
      </c>
      <c r="U402" s="12">
        <v>1634</v>
      </c>
    </row>
    <row r="403" spans="1:21">
      <c r="A403" s="13">
        <v>45931</v>
      </c>
      <c r="B403" s="12">
        <v>123479038</v>
      </c>
      <c r="C403" s="12">
        <v>1975</v>
      </c>
      <c r="D403" s="12" t="s">
        <v>97</v>
      </c>
      <c r="E403" s="12" t="s">
        <v>50</v>
      </c>
      <c r="F403" s="12" t="s">
        <v>69</v>
      </c>
      <c r="G403" s="12" t="s">
        <v>70</v>
      </c>
      <c r="H403" s="12" t="s">
        <v>58</v>
      </c>
      <c r="I403" s="12" t="s">
        <v>37</v>
      </c>
      <c r="J403" s="12">
        <v>1.104</v>
      </c>
      <c r="K403" s="12" t="s">
        <v>71</v>
      </c>
      <c r="L403" s="12" t="s">
        <v>39</v>
      </c>
      <c r="M403" s="12" t="s">
        <v>47</v>
      </c>
      <c r="N403" s="12" t="s">
        <v>14</v>
      </c>
      <c r="O403" s="12" t="s">
        <v>5</v>
      </c>
      <c r="P403" s="12">
        <v>7</v>
      </c>
      <c r="Q403" s="12">
        <v>1</v>
      </c>
      <c r="R403" s="12" t="s">
        <v>11</v>
      </c>
      <c r="S403" s="14">
        <v>0.830555555555556</v>
      </c>
      <c r="T403" s="12" t="s">
        <v>67</v>
      </c>
      <c r="U403" s="12">
        <v>19233</v>
      </c>
    </row>
    <row r="404" spans="1:21">
      <c r="A404" s="13">
        <v>45748</v>
      </c>
      <c r="B404" s="12">
        <v>123575209</v>
      </c>
      <c r="C404" s="12">
        <v>1976</v>
      </c>
      <c r="D404" s="12" t="s">
        <v>79</v>
      </c>
      <c r="E404" s="12" t="s">
        <v>33</v>
      </c>
      <c r="F404" s="12" t="s">
        <v>86</v>
      </c>
      <c r="G404" s="12" t="s">
        <v>87</v>
      </c>
      <c r="H404" s="12" t="s">
        <v>58</v>
      </c>
      <c r="I404" s="12" t="s">
        <v>45</v>
      </c>
      <c r="J404" s="12">
        <v>0.93</v>
      </c>
      <c r="K404" s="12" t="s">
        <v>88</v>
      </c>
      <c r="L404" s="12" t="s">
        <v>39</v>
      </c>
      <c r="M404" s="12" t="s">
        <v>47</v>
      </c>
      <c r="N404" s="12" t="s">
        <v>14</v>
      </c>
      <c r="O404" s="12" t="s">
        <v>5</v>
      </c>
      <c r="P404" s="12">
        <v>3</v>
      </c>
      <c r="Q404" s="12">
        <v>2</v>
      </c>
      <c r="R404" s="12" t="s">
        <v>11</v>
      </c>
      <c r="S404" s="14">
        <v>0.380555555555556</v>
      </c>
      <c r="T404" s="12" t="s">
        <v>41</v>
      </c>
      <c r="U404" s="12">
        <v>97916</v>
      </c>
    </row>
    <row r="405" spans="1:21">
      <c r="A405" s="13">
        <v>45992</v>
      </c>
      <c r="B405" s="12">
        <v>123936974</v>
      </c>
      <c r="C405" s="12">
        <v>1994</v>
      </c>
      <c r="D405" s="12" t="s">
        <v>32</v>
      </c>
      <c r="E405" s="12" t="s">
        <v>50</v>
      </c>
      <c r="F405" s="12" t="s">
        <v>51</v>
      </c>
      <c r="G405" s="12" t="s">
        <v>52</v>
      </c>
      <c r="H405" s="12" t="s">
        <v>53</v>
      </c>
      <c r="I405" s="12" t="s">
        <v>37</v>
      </c>
      <c r="J405" s="12">
        <v>1.012</v>
      </c>
      <c r="K405" s="12" t="s">
        <v>54</v>
      </c>
      <c r="L405" s="12" t="s">
        <v>39</v>
      </c>
      <c r="M405" s="12" t="s">
        <v>78</v>
      </c>
      <c r="N405" s="12" t="s">
        <v>14</v>
      </c>
      <c r="O405" s="12" t="s">
        <v>6</v>
      </c>
      <c r="P405" s="12">
        <v>0</v>
      </c>
      <c r="Q405" s="12">
        <v>1</v>
      </c>
      <c r="R405" s="12" t="s">
        <v>13</v>
      </c>
      <c r="S405" s="12" t="s">
        <v>48</v>
      </c>
      <c r="T405" s="12" t="s">
        <v>48</v>
      </c>
      <c r="U405" s="12">
        <v>1141</v>
      </c>
    </row>
    <row r="406" spans="1:21">
      <c r="A406" s="13">
        <v>45809</v>
      </c>
      <c r="B406" s="12">
        <v>123705657</v>
      </c>
      <c r="C406" s="12">
        <v>1989</v>
      </c>
      <c r="D406" s="12" t="s">
        <v>97</v>
      </c>
      <c r="E406" s="12" t="s">
        <v>33</v>
      </c>
      <c r="F406" s="12" t="s">
        <v>80</v>
      </c>
      <c r="G406" s="12" t="s">
        <v>81</v>
      </c>
      <c r="H406" s="12" t="s">
        <v>36</v>
      </c>
      <c r="I406" s="12" t="s">
        <v>37</v>
      </c>
      <c r="J406" s="12">
        <v>1.106</v>
      </c>
      <c r="K406" s="12" t="s">
        <v>82</v>
      </c>
      <c r="L406" s="12" t="s">
        <v>72</v>
      </c>
      <c r="M406" s="12" t="s">
        <v>73</v>
      </c>
      <c r="N406" s="12" t="s">
        <v>14</v>
      </c>
      <c r="O406" s="12" t="s">
        <v>6</v>
      </c>
      <c r="P406" s="12">
        <v>0</v>
      </c>
      <c r="Q406" s="12">
        <v>3</v>
      </c>
      <c r="R406" s="12" t="s">
        <v>13</v>
      </c>
      <c r="S406" s="12" t="s">
        <v>48</v>
      </c>
      <c r="T406" s="12" t="s">
        <v>48</v>
      </c>
      <c r="U406" s="12">
        <v>251</v>
      </c>
    </row>
    <row r="407" spans="1:21">
      <c r="A407" s="13">
        <v>45839</v>
      </c>
      <c r="B407" s="12">
        <v>123842009</v>
      </c>
      <c r="C407" s="12">
        <v>2001</v>
      </c>
      <c r="D407" s="12" t="s">
        <v>83</v>
      </c>
      <c r="E407" s="12" t="s">
        <v>50</v>
      </c>
      <c r="F407" s="12" t="s">
        <v>43</v>
      </c>
      <c r="G407" s="12" t="s">
        <v>44</v>
      </c>
      <c r="H407" s="12" t="s">
        <v>36</v>
      </c>
      <c r="I407" s="12" t="s">
        <v>37</v>
      </c>
      <c r="J407" s="12">
        <v>1.082</v>
      </c>
      <c r="K407" s="12" t="s">
        <v>46</v>
      </c>
      <c r="L407" s="12" t="s">
        <v>65</v>
      </c>
      <c r="M407" s="12" t="s">
        <v>66</v>
      </c>
      <c r="N407" s="12" t="s">
        <v>14</v>
      </c>
      <c r="O407" s="12" t="s">
        <v>5</v>
      </c>
      <c r="P407" s="12">
        <v>4</v>
      </c>
      <c r="Q407" s="12">
        <v>1</v>
      </c>
      <c r="R407" s="12" t="s">
        <v>11</v>
      </c>
      <c r="S407" s="14">
        <v>0.754166666666667</v>
      </c>
      <c r="T407" s="12" t="s">
        <v>67</v>
      </c>
      <c r="U407" s="12">
        <v>7155</v>
      </c>
    </row>
    <row r="408" spans="1:21">
      <c r="A408" s="13">
        <v>45809</v>
      </c>
      <c r="B408" s="12">
        <v>123679889</v>
      </c>
      <c r="C408" s="12">
        <v>1989</v>
      </c>
      <c r="D408" s="12" t="s">
        <v>98</v>
      </c>
      <c r="E408" s="12" t="s">
        <v>50</v>
      </c>
      <c r="F408" s="12" t="s">
        <v>51</v>
      </c>
      <c r="G408" s="12" t="s">
        <v>52</v>
      </c>
      <c r="H408" s="12" t="s">
        <v>53</v>
      </c>
      <c r="I408" s="12" t="s">
        <v>45</v>
      </c>
      <c r="J408" s="12">
        <v>1.097</v>
      </c>
      <c r="K408" s="12" t="s">
        <v>54</v>
      </c>
      <c r="L408" s="12" t="s">
        <v>60</v>
      </c>
      <c r="M408" s="12" t="s">
        <v>48</v>
      </c>
      <c r="N408" s="12" t="s">
        <v>12</v>
      </c>
      <c r="O408" s="12" t="s">
        <v>5</v>
      </c>
      <c r="P408" s="12">
        <v>4</v>
      </c>
      <c r="Q408" s="12">
        <v>3</v>
      </c>
      <c r="R408" s="12" t="s">
        <v>13</v>
      </c>
      <c r="S408" s="12" t="s">
        <v>48</v>
      </c>
      <c r="T408" s="12" t="s">
        <v>48</v>
      </c>
      <c r="U408" s="12">
        <v>82656</v>
      </c>
    </row>
    <row r="409" spans="1:21">
      <c r="A409" s="13">
        <v>45689</v>
      </c>
      <c r="B409" s="12">
        <v>123550181</v>
      </c>
      <c r="C409" s="12">
        <v>1978</v>
      </c>
      <c r="D409" s="12" t="s">
        <v>83</v>
      </c>
      <c r="E409" s="12" t="s">
        <v>50</v>
      </c>
      <c r="F409" s="12" t="s">
        <v>34</v>
      </c>
      <c r="G409" s="12" t="s">
        <v>35</v>
      </c>
      <c r="H409" s="12" t="s">
        <v>36</v>
      </c>
      <c r="I409" s="12" t="s">
        <v>45</v>
      </c>
      <c r="J409" s="12">
        <v>0.942</v>
      </c>
      <c r="K409" s="12" t="s">
        <v>38</v>
      </c>
      <c r="L409" s="12" t="s">
        <v>84</v>
      </c>
      <c r="M409" s="12" t="s">
        <v>85</v>
      </c>
      <c r="N409" s="12" t="s">
        <v>14</v>
      </c>
      <c r="O409" s="12" t="s">
        <v>5</v>
      </c>
      <c r="P409" s="12">
        <v>5</v>
      </c>
      <c r="Q409" s="12">
        <v>1</v>
      </c>
      <c r="R409" s="12" t="s">
        <v>11</v>
      </c>
      <c r="S409" s="14">
        <v>0.773611111111111</v>
      </c>
      <c r="T409" s="12" t="s">
        <v>67</v>
      </c>
      <c r="U409" s="12">
        <v>23319</v>
      </c>
    </row>
    <row r="410" spans="1:21">
      <c r="A410" s="13">
        <v>45992</v>
      </c>
      <c r="B410" s="12">
        <v>123657908</v>
      </c>
      <c r="C410" s="12">
        <v>1958</v>
      </c>
      <c r="D410" s="12" t="s">
        <v>83</v>
      </c>
      <c r="E410" s="12" t="s">
        <v>33</v>
      </c>
      <c r="F410" s="12" t="s">
        <v>69</v>
      </c>
      <c r="G410" s="12" t="s">
        <v>70</v>
      </c>
      <c r="H410" s="12" t="s">
        <v>58</v>
      </c>
      <c r="I410" s="12" t="s">
        <v>45</v>
      </c>
      <c r="J410" s="12">
        <v>1.12</v>
      </c>
      <c r="K410" s="12" t="s">
        <v>71</v>
      </c>
      <c r="L410" s="12" t="s">
        <v>72</v>
      </c>
      <c r="M410" s="12" t="s">
        <v>73</v>
      </c>
      <c r="N410" s="12" t="s">
        <v>14</v>
      </c>
      <c r="O410" s="12" t="s">
        <v>6</v>
      </c>
      <c r="P410" s="12">
        <v>0</v>
      </c>
      <c r="Q410" s="12">
        <v>3</v>
      </c>
      <c r="R410" s="12" t="s">
        <v>13</v>
      </c>
      <c r="S410" s="12" t="s">
        <v>48</v>
      </c>
      <c r="T410" s="12" t="s">
        <v>48</v>
      </c>
      <c r="U410" s="12">
        <v>1251</v>
      </c>
    </row>
    <row r="411" spans="1:21">
      <c r="A411" s="13">
        <v>45658</v>
      </c>
      <c r="B411" s="12">
        <v>123505896</v>
      </c>
      <c r="C411" s="12">
        <v>1963</v>
      </c>
      <c r="D411" s="12" t="s">
        <v>49</v>
      </c>
      <c r="E411" s="12" t="s">
        <v>33</v>
      </c>
      <c r="F411" s="12" t="s">
        <v>91</v>
      </c>
      <c r="G411" s="12" t="s">
        <v>92</v>
      </c>
      <c r="H411" s="12" t="s">
        <v>58</v>
      </c>
      <c r="I411" s="12" t="s">
        <v>45</v>
      </c>
      <c r="J411" s="12">
        <v>1.181</v>
      </c>
      <c r="K411" s="12" t="s">
        <v>93</v>
      </c>
      <c r="L411" s="12" t="s">
        <v>39</v>
      </c>
      <c r="M411" s="12" t="s">
        <v>40</v>
      </c>
      <c r="N411" s="12" t="s">
        <v>14</v>
      </c>
      <c r="O411" s="12" t="s">
        <v>5</v>
      </c>
      <c r="P411" s="12">
        <v>6</v>
      </c>
      <c r="Q411" s="12">
        <v>1</v>
      </c>
      <c r="R411" s="12" t="s">
        <v>13</v>
      </c>
      <c r="S411" s="14">
        <v>0.488888888888889</v>
      </c>
      <c r="T411" s="12" t="s">
        <v>41</v>
      </c>
      <c r="U411" s="12">
        <v>76734</v>
      </c>
    </row>
    <row r="412" spans="1:21">
      <c r="A412" s="13">
        <v>45717</v>
      </c>
      <c r="B412" s="12">
        <v>123875016</v>
      </c>
      <c r="C412" s="12">
        <v>1993</v>
      </c>
      <c r="D412" s="12" t="s">
        <v>79</v>
      </c>
      <c r="E412" s="12" t="s">
        <v>50</v>
      </c>
      <c r="F412" s="12" t="s">
        <v>43</v>
      </c>
      <c r="G412" s="12" t="s">
        <v>44</v>
      </c>
      <c r="H412" s="12" t="s">
        <v>36</v>
      </c>
      <c r="I412" s="12" t="s">
        <v>45</v>
      </c>
      <c r="J412" s="12">
        <v>1.229</v>
      </c>
      <c r="K412" s="12" t="s">
        <v>46</v>
      </c>
      <c r="L412" s="12" t="s">
        <v>72</v>
      </c>
      <c r="M412" s="12" t="s">
        <v>73</v>
      </c>
      <c r="N412" s="12" t="s">
        <v>14</v>
      </c>
      <c r="O412" s="12" t="s">
        <v>6</v>
      </c>
      <c r="P412" s="12">
        <v>0</v>
      </c>
      <c r="Q412" s="12">
        <v>2</v>
      </c>
      <c r="R412" s="12" t="s">
        <v>11</v>
      </c>
      <c r="S412" s="12" t="s">
        <v>48</v>
      </c>
      <c r="T412" s="12" t="s">
        <v>48</v>
      </c>
      <c r="U412" s="12">
        <v>1666</v>
      </c>
    </row>
    <row r="413" spans="1:21">
      <c r="A413" s="13">
        <v>45717</v>
      </c>
      <c r="B413" s="12">
        <v>123555841</v>
      </c>
      <c r="C413" s="12">
        <v>1981</v>
      </c>
      <c r="D413" s="12" t="s">
        <v>49</v>
      </c>
      <c r="E413" s="12" t="s">
        <v>50</v>
      </c>
      <c r="F413" s="12" t="s">
        <v>86</v>
      </c>
      <c r="G413" s="12" t="s">
        <v>87</v>
      </c>
      <c r="H413" s="12" t="s">
        <v>58</v>
      </c>
      <c r="I413" s="12" t="s">
        <v>45</v>
      </c>
      <c r="J413" s="12">
        <v>0.919</v>
      </c>
      <c r="K413" s="12" t="s">
        <v>88</v>
      </c>
      <c r="L413" s="12" t="s">
        <v>39</v>
      </c>
      <c r="M413" s="12" t="s">
        <v>78</v>
      </c>
      <c r="N413" s="12" t="s">
        <v>14</v>
      </c>
      <c r="O413" s="12" t="s">
        <v>6</v>
      </c>
      <c r="P413" s="12">
        <v>0</v>
      </c>
      <c r="Q413" s="12">
        <v>2</v>
      </c>
      <c r="R413" s="12" t="s">
        <v>13</v>
      </c>
      <c r="S413" s="12" t="s">
        <v>48</v>
      </c>
      <c r="T413" s="12" t="s">
        <v>48</v>
      </c>
      <c r="U413" s="12">
        <v>2459</v>
      </c>
    </row>
    <row r="414" spans="1:21">
      <c r="A414" s="13">
        <v>45748</v>
      </c>
      <c r="B414" s="12">
        <v>123660748</v>
      </c>
      <c r="C414" s="12">
        <v>2004</v>
      </c>
      <c r="D414" s="12" t="s">
        <v>42</v>
      </c>
      <c r="E414" s="12" t="s">
        <v>33</v>
      </c>
      <c r="F414" s="12" t="s">
        <v>75</v>
      </c>
      <c r="G414" s="12" t="s">
        <v>76</v>
      </c>
      <c r="H414" s="12" t="s">
        <v>53</v>
      </c>
      <c r="I414" s="12" t="s">
        <v>45</v>
      </c>
      <c r="J414" s="12">
        <v>1.042</v>
      </c>
      <c r="K414" s="12" t="s">
        <v>77</v>
      </c>
      <c r="L414" s="12" t="s">
        <v>60</v>
      </c>
      <c r="M414" s="12" t="s">
        <v>48</v>
      </c>
      <c r="N414" s="12" t="s">
        <v>12</v>
      </c>
      <c r="O414" s="12" t="s">
        <v>5</v>
      </c>
      <c r="P414" s="12">
        <v>5</v>
      </c>
      <c r="Q414" s="12">
        <v>1</v>
      </c>
      <c r="R414" s="12" t="s">
        <v>11</v>
      </c>
      <c r="S414" s="14">
        <v>0.719444444444444</v>
      </c>
      <c r="T414" s="12" t="s">
        <v>67</v>
      </c>
      <c r="U414" s="12">
        <v>15474</v>
      </c>
    </row>
    <row r="415" spans="1:21">
      <c r="A415" s="13">
        <v>45689</v>
      </c>
      <c r="B415" s="12">
        <v>123989133</v>
      </c>
      <c r="C415" s="12">
        <v>1995</v>
      </c>
      <c r="D415" s="12" t="s">
        <v>98</v>
      </c>
      <c r="E415" s="12" t="s">
        <v>50</v>
      </c>
      <c r="F415" s="12" t="s">
        <v>43</v>
      </c>
      <c r="G415" s="12" t="s">
        <v>44</v>
      </c>
      <c r="H415" s="12" t="s">
        <v>36</v>
      </c>
      <c r="I415" s="12" t="s">
        <v>45</v>
      </c>
      <c r="J415" s="12">
        <v>1.001</v>
      </c>
      <c r="K415" s="12" t="s">
        <v>46</v>
      </c>
      <c r="L415" s="12" t="s">
        <v>72</v>
      </c>
      <c r="M415" s="12" t="s">
        <v>95</v>
      </c>
      <c r="N415" s="12" t="s">
        <v>14</v>
      </c>
      <c r="O415" s="12" t="s">
        <v>6</v>
      </c>
      <c r="P415" s="12">
        <v>0</v>
      </c>
      <c r="Q415" s="12">
        <v>3</v>
      </c>
      <c r="R415" s="12" t="s">
        <v>13</v>
      </c>
      <c r="S415" s="12" t="s">
        <v>48</v>
      </c>
      <c r="T415" s="12" t="s">
        <v>48</v>
      </c>
      <c r="U415" s="12">
        <v>1875</v>
      </c>
    </row>
    <row r="416" spans="1:21">
      <c r="A416" s="13">
        <v>45658</v>
      </c>
      <c r="B416" s="12">
        <v>123778027</v>
      </c>
      <c r="C416" s="12">
        <v>1989</v>
      </c>
      <c r="D416" s="12" t="s">
        <v>68</v>
      </c>
      <c r="E416" s="12" t="s">
        <v>50</v>
      </c>
      <c r="F416" s="12" t="s">
        <v>80</v>
      </c>
      <c r="G416" s="12" t="s">
        <v>81</v>
      </c>
      <c r="H416" s="12" t="s">
        <v>36</v>
      </c>
      <c r="I416" s="12" t="s">
        <v>45</v>
      </c>
      <c r="J416" s="12">
        <v>1.062</v>
      </c>
      <c r="K416" s="12" t="s">
        <v>82</v>
      </c>
      <c r="L416" s="12" t="s">
        <v>39</v>
      </c>
      <c r="M416" s="12" t="s">
        <v>78</v>
      </c>
      <c r="N416" s="12" t="s">
        <v>14</v>
      </c>
      <c r="O416" s="12" t="s">
        <v>6</v>
      </c>
      <c r="P416" s="12">
        <v>0</v>
      </c>
      <c r="Q416" s="12">
        <v>1</v>
      </c>
      <c r="R416" s="12" t="s">
        <v>11</v>
      </c>
      <c r="S416" s="12" t="s">
        <v>48</v>
      </c>
      <c r="T416" s="12" t="s">
        <v>48</v>
      </c>
      <c r="U416" s="12">
        <v>1413</v>
      </c>
    </row>
    <row r="417" spans="1:21">
      <c r="A417" s="13">
        <v>45901</v>
      </c>
      <c r="B417" s="12">
        <v>123705456</v>
      </c>
      <c r="C417" s="12">
        <v>1992</v>
      </c>
      <c r="D417" s="12" t="s">
        <v>61</v>
      </c>
      <c r="E417" s="12" t="s">
        <v>50</v>
      </c>
      <c r="F417" s="12" t="s">
        <v>86</v>
      </c>
      <c r="G417" s="12" t="s">
        <v>87</v>
      </c>
      <c r="H417" s="12" t="s">
        <v>58</v>
      </c>
      <c r="I417" s="12" t="s">
        <v>45</v>
      </c>
      <c r="J417" s="12">
        <v>0.906</v>
      </c>
      <c r="K417" s="12" t="s">
        <v>88</v>
      </c>
      <c r="L417" s="12" t="s">
        <v>39</v>
      </c>
      <c r="M417" s="12" t="s">
        <v>47</v>
      </c>
      <c r="N417" s="12" t="s">
        <v>14</v>
      </c>
      <c r="O417" s="12" t="s">
        <v>6</v>
      </c>
      <c r="P417" s="12">
        <v>0</v>
      </c>
      <c r="Q417" s="12">
        <v>2</v>
      </c>
      <c r="R417" s="12" t="s">
        <v>11</v>
      </c>
      <c r="S417" s="12" t="s">
        <v>48</v>
      </c>
      <c r="T417" s="12" t="s">
        <v>48</v>
      </c>
      <c r="U417" s="12">
        <v>1346</v>
      </c>
    </row>
    <row r="418" spans="1:21">
      <c r="A418" s="13">
        <v>45992</v>
      </c>
      <c r="B418" s="12">
        <v>123751398</v>
      </c>
      <c r="C418" s="12">
        <v>1970</v>
      </c>
      <c r="D418" s="12" t="s">
        <v>83</v>
      </c>
      <c r="E418" s="12" t="s">
        <v>33</v>
      </c>
      <c r="F418" s="12" t="s">
        <v>62</v>
      </c>
      <c r="G418" s="12" t="s">
        <v>63</v>
      </c>
      <c r="H418" s="12" t="s">
        <v>58</v>
      </c>
      <c r="I418" s="12" t="s">
        <v>45</v>
      </c>
      <c r="J418" s="12">
        <v>0.933</v>
      </c>
      <c r="K418" s="12" t="s">
        <v>64</v>
      </c>
      <c r="L418" s="12" t="s">
        <v>39</v>
      </c>
      <c r="M418" s="12" t="s">
        <v>47</v>
      </c>
      <c r="N418" s="12" t="s">
        <v>14</v>
      </c>
      <c r="O418" s="12" t="s">
        <v>6</v>
      </c>
      <c r="P418" s="12">
        <v>0</v>
      </c>
      <c r="Q418" s="12">
        <v>2</v>
      </c>
      <c r="R418" s="12" t="s">
        <v>11</v>
      </c>
      <c r="S418" s="14">
        <v>0.667361111111111</v>
      </c>
      <c r="T418" s="12" t="s">
        <v>67</v>
      </c>
      <c r="U418" s="12">
        <v>933</v>
      </c>
    </row>
    <row r="419" spans="1:21">
      <c r="A419" s="13">
        <v>45689</v>
      </c>
      <c r="B419" s="12">
        <v>123882539</v>
      </c>
      <c r="C419" s="12">
        <v>1978</v>
      </c>
      <c r="D419" s="12" t="s">
        <v>68</v>
      </c>
      <c r="E419" s="12" t="s">
        <v>33</v>
      </c>
      <c r="F419" s="12" t="s">
        <v>56</v>
      </c>
      <c r="G419" s="12" t="s">
        <v>57</v>
      </c>
      <c r="H419" s="12" t="s">
        <v>58</v>
      </c>
      <c r="I419" s="12" t="s">
        <v>45</v>
      </c>
      <c r="J419" s="12">
        <v>1.011</v>
      </c>
      <c r="K419" s="12" t="s">
        <v>59</v>
      </c>
      <c r="L419" s="12" t="s">
        <v>60</v>
      </c>
      <c r="M419" s="12" t="s">
        <v>48</v>
      </c>
      <c r="N419" s="12" t="s">
        <v>12</v>
      </c>
      <c r="O419" s="12" t="s">
        <v>6</v>
      </c>
      <c r="P419" s="12">
        <v>0</v>
      </c>
      <c r="Q419" s="12">
        <v>2</v>
      </c>
      <c r="R419" s="12" t="s">
        <v>13</v>
      </c>
      <c r="S419" s="12" t="s">
        <v>48</v>
      </c>
      <c r="T419" s="12" t="s">
        <v>48</v>
      </c>
      <c r="U419" s="12">
        <v>216</v>
      </c>
    </row>
    <row r="420" spans="1:21">
      <c r="A420" s="13">
        <v>45748</v>
      </c>
      <c r="B420" s="12">
        <v>123594437</v>
      </c>
      <c r="C420" s="12">
        <v>1987</v>
      </c>
      <c r="D420" s="12" t="s">
        <v>61</v>
      </c>
      <c r="E420" s="12" t="s">
        <v>50</v>
      </c>
      <c r="F420" s="12" t="s">
        <v>34</v>
      </c>
      <c r="G420" s="12" t="s">
        <v>35</v>
      </c>
      <c r="H420" s="12" t="s">
        <v>36</v>
      </c>
      <c r="I420" s="12" t="s">
        <v>45</v>
      </c>
      <c r="J420" s="12">
        <v>1.002</v>
      </c>
      <c r="K420" s="12" t="s">
        <v>38</v>
      </c>
      <c r="L420" s="12" t="s">
        <v>39</v>
      </c>
      <c r="M420" s="12" t="s">
        <v>78</v>
      </c>
      <c r="N420" s="12" t="s">
        <v>14</v>
      </c>
      <c r="O420" s="12" t="s">
        <v>5</v>
      </c>
      <c r="P420" s="12">
        <v>4</v>
      </c>
      <c r="Q420" s="12">
        <v>1</v>
      </c>
      <c r="R420" s="12" t="s">
        <v>11</v>
      </c>
      <c r="S420" s="14">
        <v>0.895833333333333</v>
      </c>
      <c r="T420" s="12" t="s">
        <v>67</v>
      </c>
      <c r="U420" s="12">
        <v>108750</v>
      </c>
    </row>
    <row r="421" spans="1:21">
      <c r="A421" s="13">
        <v>45839</v>
      </c>
      <c r="B421" s="12">
        <v>123802205</v>
      </c>
      <c r="C421" s="12">
        <v>1990</v>
      </c>
      <c r="D421" s="12" t="s">
        <v>49</v>
      </c>
      <c r="E421" s="12" t="s">
        <v>33</v>
      </c>
      <c r="F421" s="12" t="s">
        <v>43</v>
      </c>
      <c r="G421" s="12" t="s">
        <v>44</v>
      </c>
      <c r="H421" s="12" t="s">
        <v>36</v>
      </c>
      <c r="I421" s="12" t="s">
        <v>37</v>
      </c>
      <c r="J421" s="12">
        <v>0.992</v>
      </c>
      <c r="K421" s="12" t="s">
        <v>46</v>
      </c>
      <c r="L421" s="12" t="s">
        <v>39</v>
      </c>
      <c r="M421" s="12" t="s">
        <v>78</v>
      </c>
      <c r="N421" s="12" t="s">
        <v>14</v>
      </c>
      <c r="O421" s="12" t="s">
        <v>6</v>
      </c>
      <c r="P421" s="12">
        <v>0</v>
      </c>
      <c r="Q421" s="12">
        <v>1</v>
      </c>
      <c r="R421" s="12" t="s">
        <v>11</v>
      </c>
      <c r="S421" s="12" t="s">
        <v>48</v>
      </c>
      <c r="T421" s="12" t="s">
        <v>48</v>
      </c>
      <c r="U421" s="12">
        <v>1491</v>
      </c>
    </row>
    <row r="422" spans="1:21">
      <c r="A422" s="13">
        <v>45992</v>
      </c>
      <c r="B422" s="12">
        <v>123930743</v>
      </c>
      <c r="C422" s="12">
        <v>1963</v>
      </c>
      <c r="D422" s="12" t="s">
        <v>61</v>
      </c>
      <c r="E422" s="12" t="s">
        <v>50</v>
      </c>
      <c r="F422" s="12" t="s">
        <v>51</v>
      </c>
      <c r="G422" s="12" t="s">
        <v>52</v>
      </c>
      <c r="H422" s="12" t="s">
        <v>53</v>
      </c>
      <c r="I422" s="12" t="s">
        <v>37</v>
      </c>
      <c r="J422" s="12">
        <v>1.078</v>
      </c>
      <c r="K422" s="12" t="s">
        <v>54</v>
      </c>
      <c r="L422" s="12" t="s">
        <v>39</v>
      </c>
      <c r="M422" s="12" t="s">
        <v>47</v>
      </c>
      <c r="N422" s="12" t="s">
        <v>14</v>
      </c>
      <c r="O422" s="12" t="s">
        <v>6</v>
      </c>
      <c r="P422" s="12">
        <v>0</v>
      </c>
      <c r="Q422" s="12">
        <v>1</v>
      </c>
      <c r="R422" s="12" t="s">
        <v>13</v>
      </c>
      <c r="S422" s="12" t="s">
        <v>48</v>
      </c>
      <c r="T422" s="12" t="s">
        <v>48</v>
      </c>
      <c r="U422" s="12">
        <v>821</v>
      </c>
    </row>
    <row r="423" spans="1:21">
      <c r="A423" s="13">
        <v>45901</v>
      </c>
      <c r="B423" s="12">
        <v>123767392</v>
      </c>
      <c r="C423" s="12">
        <v>1999</v>
      </c>
      <c r="D423" s="12" t="s">
        <v>74</v>
      </c>
      <c r="E423" s="12" t="s">
        <v>50</v>
      </c>
      <c r="F423" s="12" t="s">
        <v>34</v>
      </c>
      <c r="G423" s="12" t="s">
        <v>35</v>
      </c>
      <c r="H423" s="12" t="s">
        <v>36</v>
      </c>
      <c r="I423" s="12" t="s">
        <v>45</v>
      </c>
      <c r="J423" s="12">
        <v>1.079</v>
      </c>
      <c r="K423" s="12" t="s">
        <v>38</v>
      </c>
      <c r="L423" s="12" t="s">
        <v>65</v>
      </c>
      <c r="M423" s="12" t="s">
        <v>96</v>
      </c>
      <c r="N423" s="12" t="s">
        <v>14</v>
      </c>
      <c r="O423" s="12" t="s">
        <v>5</v>
      </c>
      <c r="P423" s="12">
        <v>4</v>
      </c>
      <c r="Q423" s="12">
        <v>1</v>
      </c>
      <c r="R423" s="12" t="s">
        <v>13</v>
      </c>
      <c r="S423" s="14">
        <v>0.438888888888889</v>
      </c>
      <c r="T423" s="12" t="s">
        <v>41</v>
      </c>
      <c r="U423" s="12">
        <v>149242</v>
      </c>
    </row>
    <row r="424" spans="1:21">
      <c r="A424" s="13">
        <v>45931</v>
      </c>
      <c r="B424" s="12">
        <v>123698917</v>
      </c>
      <c r="C424" s="12">
        <v>1982</v>
      </c>
      <c r="D424" s="12" t="s">
        <v>97</v>
      </c>
      <c r="E424" s="12" t="s">
        <v>50</v>
      </c>
      <c r="F424" s="12" t="s">
        <v>86</v>
      </c>
      <c r="G424" s="12" t="s">
        <v>87</v>
      </c>
      <c r="H424" s="12" t="s">
        <v>58</v>
      </c>
      <c r="I424" s="12" t="s">
        <v>45</v>
      </c>
      <c r="J424" s="12">
        <v>0.827</v>
      </c>
      <c r="K424" s="12" t="s">
        <v>88</v>
      </c>
      <c r="L424" s="12" t="s">
        <v>72</v>
      </c>
      <c r="M424" s="12" t="s">
        <v>95</v>
      </c>
      <c r="N424" s="12" t="s">
        <v>14</v>
      </c>
      <c r="O424" s="12" t="s">
        <v>6</v>
      </c>
      <c r="P424" s="12">
        <v>0</v>
      </c>
      <c r="Q424" s="12">
        <v>1</v>
      </c>
      <c r="R424" s="12" t="s">
        <v>11</v>
      </c>
      <c r="S424" s="12" t="s">
        <v>48</v>
      </c>
      <c r="T424" s="12" t="s">
        <v>48</v>
      </c>
      <c r="U424" s="12">
        <v>1119</v>
      </c>
    </row>
    <row r="425" spans="1:21">
      <c r="A425" s="13">
        <v>45839</v>
      </c>
      <c r="B425" s="12">
        <v>123534950</v>
      </c>
      <c r="C425" s="12">
        <v>2001</v>
      </c>
      <c r="D425" s="12" t="s">
        <v>61</v>
      </c>
      <c r="E425" s="12" t="s">
        <v>50</v>
      </c>
      <c r="F425" s="12" t="s">
        <v>43</v>
      </c>
      <c r="G425" s="12" t="s">
        <v>44</v>
      </c>
      <c r="H425" s="12" t="s">
        <v>36</v>
      </c>
      <c r="I425" s="12" t="s">
        <v>45</v>
      </c>
      <c r="J425" s="12">
        <v>1.183</v>
      </c>
      <c r="K425" s="12" t="s">
        <v>46</v>
      </c>
      <c r="L425" s="12" t="s">
        <v>84</v>
      </c>
      <c r="M425" s="12" t="s">
        <v>89</v>
      </c>
      <c r="N425" s="12" t="s">
        <v>14</v>
      </c>
      <c r="O425" s="12" t="s">
        <v>4</v>
      </c>
      <c r="P425" s="12">
        <v>1</v>
      </c>
      <c r="Q425" s="12">
        <v>3</v>
      </c>
      <c r="R425" s="12" t="s">
        <v>13</v>
      </c>
      <c r="S425" s="14">
        <v>0.497916666666667</v>
      </c>
      <c r="T425" s="12" t="s">
        <v>41</v>
      </c>
      <c r="U425" s="12">
        <v>6419</v>
      </c>
    </row>
    <row r="426" spans="1:21">
      <c r="A426" s="13">
        <v>45809</v>
      </c>
      <c r="B426" s="12">
        <v>123591069</v>
      </c>
      <c r="C426" s="12">
        <v>1965</v>
      </c>
      <c r="D426" s="12" t="s">
        <v>32</v>
      </c>
      <c r="E426" s="12" t="s">
        <v>50</v>
      </c>
      <c r="F426" s="12" t="s">
        <v>34</v>
      </c>
      <c r="G426" s="12" t="s">
        <v>35</v>
      </c>
      <c r="H426" s="12" t="s">
        <v>36</v>
      </c>
      <c r="I426" s="12" t="s">
        <v>45</v>
      </c>
      <c r="J426" s="12">
        <v>0.995</v>
      </c>
      <c r="K426" s="12" t="s">
        <v>38</v>
      </c>
      <c r="L426" s="12" t="s">
        <v>39</v>
      </c>
      <c r="M426" s="12" t="s">
        <v>78</v>
      </c>
      <c r="N426" s="12" t="s">
        <v>14</v>
      </c>
      <c r="O426" s="12" t="s">
        <v>6</v>
      </c>
      <c r="P426" s="12">
        <v>0</v>
      </c>
      <c r="Q426" s="12">
        <v>2</v>
      </c>
      <c r="R426" s="12" t="s">
        <v>11</v>
      </c>
      <c r="S426" s="12" t="s">
        <v>48</v>
      </c>
      <c r="T426" s="12" t="s">
        <v>48</v>
      </c>
      <c r="U426" s="12">
        <v>225</v>
      </c>
    </row>
    <row r="427" spans="1:21">
      <c r="A427" s="13">
        <v>45717</v>
      </c>
      <c r="B427" s="12">
        <v>123970636</v>
      </c>
      <c r="C427" s="12">
        <v>1959</v>
      </c>
      <c r="D427" s="12" t="s">
        <v>79</v>
      </c>
      <c r="E427" s="12" t="s">
        <v>50</v>
      </c>
      <c r="F427" s="12" t="s">
        <v>91</v>
      </c>
      <c r="G427" s="12" t="s">
        <v>92</v>
      </c>
      <c r="H427" s="12" t="s">
        <v>58</v>
      </c>
      <c r="I427" s="12" t="s">
        <v>45</v>
      </c>
      <c r="J427" s="12">
        <v>1.116</v>
      </c>
      <c r="K427" s="12" t="s">
        <v>93</v>
      </c>
      <c r="L427" s="12" t="s">
        <v>39</v>
      </c>
      <c r="M427" s="12" t="s">
        <v>78</v>
      </c>
      <c r="N427" s="12" t="s">
        <v>14</v>
      </c>
      <c r="O427" s="12" t="s">
        <v>6</v>
      </c>
      <c r="P427" s="12">
        <v>0</v>
      </c>
      <c r="Q427" s="12">
        <v>2</v>
      </c>
      <c r="R427" s="12" t="s">
        <v>11</v>
      </c>
      <c r="S427" s="12" t="s">
        <v>48</v>
      </c>
      <c r="T427" s="12" t="s">
        <v>48</v>
      </c>
      <c r="U427" s="12">
        <v>205</v>
      </c>
    </row>
    <row r="428" spans="1:21">
      <c r="A428" s="13">
        <v>45962</v>
      </c>
      <c r="B428" s="12">
        <v>123750444</v>
      </c>
      <c r="C428" s="12">
        <v>1970</v>
      </c>
      <c r="D428" s="12" t="s">
        <v>61</v>
      </c>
      <c r="E428" s="12" t="s">
        <v>50</v>
      </c>
      <c r="F428" s="12" t="s">
        <v>43</v>
      </c>
      <c r="G428" s="12" t="s">
        <v>44</v>
      </c>
      <c r="H428" s="12" t="s">
        <v>36</v>
      </c>
      <c r="I428" s="12" t="s">
        <v>45</v>
      </c>
      <c r="J428" s="12">
        <v>0.999</v>
      </c>
      <c r="K428" s="12" t="s">
        <v>46</v>
      </c>
      <c r="L428" s="12" t="s">
        <v>60</v>
      </c>
      <c r="M428" s="12" t="s">
        <v>48</v>
      </c>
      <c r="N428" s="12" t="s">
        <v>12</v>
      </c>
      <c r="O428" s="12" t="s">
        <v>6</v>
      </c>
      <c r="P428" s="12">
        <v>0</v>
      </c>
      <c r="Q428" s="12">
        <v>2</v>
      </c>
      <c r="R428" s="12" t="s">
        <v>13</v>
      </c>
      <c r="S428" s="12" t="s">
        <v>48</v>
      </c>
      <c r="T428" s="12" t="s">
        <v>48</v>
      </c>
      <c r="U428" s="12">
        <v>875</v>
      </c>
    </row>
    <row r="429" spans="1:21">
      <c r="A429" s="13">
        <v>45931</v>
      </c>
      <c r="B429" s="12">
        <v>123619930</v>
      </c>
      <c r="C429" s="12">
        <v>1990</v>
      </c>
      <c r="D429" s="12" t="s">
        <v>79</v>
      </c>
      <c r="E429" s="12" t="s">
        <v>33</v>
      </c>
      <c r="F429" s="12" t="s">
        <v>91</v>
      </c>
      <c r="G429" s="12" t="s">
        <v>92</v>
      </c>
      <c r="H429" s="12" t="s">
        <v>58</v>
      </c>
      <c r="I429" s="12" t="s">
        <v>37</v>
      </c>
      <c r="J429" s="12">
        <v>0.85</v>
      </c>
      <c r="K429" s="12" t="s">
        <v>93</v>
      </c>
      <c r="L429" s="12" t="s">
        <v>39</v>
      </c>
      <c r="M429" s="12" t="s">
        <v>40</v>
      </c>
      <c r="N429" s="12" t="s">
        <v>14</v>
      </c>
      <c r="O429" s="12" t="s">
        <v>5</v>
      </c>
      <c r="P429" s="12">
        <v>4</v>
      </c>
      <c r="Q429" s="12">
        <v>1</v>
      </c>
      <c r="R429" s="12" t="s">
        <v>11</v>
      </c>
      <c r="S429" s="14">
        <v>0.630555555555556</v>
      </c>
      <c r="T429" s="12" t="s">
        <v>67</v>
      </c>
      <c r="U429" s="12">
        <v>67805</v>
      </c>
    </row>
    <row r="430" spans="1:21">
      <c r="A430" s="13">
        <v>45658</v>
      </c>
      <c r="B430" s="12">
        <v>123683591</v>
      </c>
      <c r="C430" s="12">
        <v>1999</v>
      </c>
      <c r="D430" s="12" t="s">
        <v>55</v>
      </c>
      <c r="E430" s="12" t="s">
        <v>50</v>
      </c>
      <c r="F430" s="12" t="s">
        <v>80</v>
      </c>
      <c r="G430" s="12" t="s">
        <v>81</v>
      </c>
      <c r="H430" s="12" t="s">
        <v>36</v>
      </c>
      <c r="I430" s="12" t="s">
        <v>37</v>
      </c>
      <c r="J430" s="12">
        <v>0.997</v>
      </c>
      <c r="K430" s="12" t="s">
        <v>82</v>
      </c>
      <c r="L430" s="12" t="s">
        <v>39</v>
      </c>
      <c r="M430" s="12" t="s">
        <v>40</v>
      </c>
      <c r="N430" s="12" t="s">
        <v>14</v>
      </c>
      <c r="O430" s="12" t="s">
        <v>6</v>
      </c>
      <c r="P430" s="12">
        <v>0</v>
      </c>
      <c r="Q430" s="12">
        <v>2</v>
      </c>
      <c r="R430" s="12" t="s">
        <v>11</v>
      </c>
      <c r="S430" s="12" t="s">
        <v>48</v>
      </c>
      <c r="T430" s="12" t="s">
        <v>48</v>
      </c>
      <c r="U430" s="12">
        <v>417</v>
      </c>
    </row>
    <row r="431" spans="1:21">
      <c r="A431" s="13">
        <v>45901</v>
      </c>
      <c r="B431" s="12">
        <v>123770440</v>
      </c>
      <c r="C431" s="12">
        <v>1987</v>
      </c>
      <c r="D431" s="12" t="s">
        <v>79</v>
      </c>
      <c r="E431" s="12" t="s">
        <v>50</v>
      </c>
      <c r="F431" s="12" t="s">
        <v>43</v>
      </c>
      <c r="G431" s="12" t="s">
        <v>44</v>
      </c>
      <c r="H431" s="12" t="s">
        <v>36</v>
      </c>
      <c r="I431" s="12" t="s">
        <v>37</v>
      </c>
      <c r="J431" s="12">
        <v>1.16</v>
      </c>
      <c r="K431" s="12" t="s">
        <v>46</v>
      </c>
      <c r="L431" s="12" t="s">
        <v>72</v>
      </c>
      <c r="M431" s="12" t="s">
        <v>73</v>
      </c>
      <c r="N431" s="12" t="s">
        <v>14</v>
      </c>
      <c r="O431" s="12" t="s">
        <v>4</v>
      </c>
      <c r="P431" s="12">
        <v>1</v>
      </c>
      <c r="Q431" s="12">
        <v>1</v>
      </c>
      <c r="R431" s="12" t="s">
        <v>13</v>
      </c>
      <c r="S431" s="14">
        <v>0.432638888888889</v>
      </c>
      <c r="T431" s="12" t="s">
        <v>41</v>
      </c>
      <c r="U431" s="12">
        <v>3155</v>
      </c>
    </row>
    <row r="432" spans="1:21">
      <c r="A432" s="13">
        <v>45689</v>
      </c>
      <c r="B432" s="12">
        <v>123748425</v>
      </c>
      <c r="C432" s="12">
        <v>1959</v>
      </c>
      <c r="D432" s="12" t="s">
        <v>97</v>
      </c>
      <c r="E432" s="12" t="s">
        <v>33</v>
      </c>
      <c r="F432" s="12" t="s">
        <v>91</v>
      </c>
      <c r="G432" s="12" t="s">
        <v>92</v>
      </c>
      <c r="H432" s="12" t="s">
        <v>58</v>
      </c>
      <c r="I432" s="12" t="s">
        <v>45</v>
      </c>
      <c r="J432" s="12">
        <v>0.976</v>
      </c>
      <c r="K432" s="12" t="s">
        <v>93</v>
      </c>
      <c r="L432" s="12" t="s">
        <v>39</v>
      </c>
      <c r="M432" s="12" t="s">
        <v>78</v>
      </c>
      <c r="N432" s="12" t="s">
        <v>14</v>
      </c>
      <c r="O432" s="12" t="s">
        <v>6</v>
      </c>
      <c r="P432" s="12">
        <v>0</v>
      </c>
      <c r="Q432" s="12">
        <v>1</v>
      </c>
      <c r="R432" s="12" t="s">
        <v>11</v>
      </c>
      <c r="S432" s="14">
        <v>0.331944444444444</v>
      </c>
      <c r="T432" s="12" t="s">
        <v>41</v>
      </c>
      <c r="U432" s="12">
        <v>508</v>
      </c>
    </row>
    <row r="433" spans="1:21">
      <c r="A433" s="13">
        <v>45901</v>
      </c>
      <c r="B433" s="12">
        <v>123836677</v>
      </c>
      <c r="C433" s="12">
        <v>1993</v>
      </c>
      <c r="D433" s="12" t="s">
        <v>79</v>
      </c>
      <c r="E433" s="12" t="s">
        <v>33</v>
      </c>
      <c r="F433" s="12" t="s">
        <v>86</v>
      </c>
      <c r="G433" s="12" t="s">
        <v>87</v>
      </c>
      <c r="H433" s="12" t="s">
        <v>58</v>
      </c>
      <c r="I433" s="12" t="s">
        <v>45</v>
      </c>
      <c r="J433" s="12">
        <v>1.05</v>
      </c>
      <c r="K433" s="12" t="s">
        <v>88</v>
      </c>
      <c r="L433" s="12" t="s">
        <v>39</v>
      </c>
      <c r="M433" s="12" t="s">
        <v>47</v>
      </c>
      <c r="N433" s="12" t="s">
        <v>14</v>
      </c>
      <c r="O433" s="12" t="s">
        <v>6</v>
      </c>
      <c r="P433" s="12">
        <v>0</v>
      </c>
      <c r="Q433" s="12">
        <v>2</v>
      </c>
      <c r="R433" s="12" t="s">
        <v>13</v>
      </c>
      <c r="S433" s="12" t="s">
        <v>48</v>
      </c>
      <c r="T433" s="12" t="s">
        <v>48</v>
      </c>
      <c r="U433" s="12">
        <v>1935</v>
      </c>
    </row>
    <row r="434" spans="1:21">
      <c r="A434" s="13">
        <v>45931</v>
      </c>
      <c r="B434" s="12">
        <v>123596075</v>
      </c>
      <c r="C434" s="12">
        <v>1984</v>
      </c>
      <c r="D434" s="12" t="s">
        <v>100</v>
      </c>
      <c r="E434" s="12" t="s">
        <v>33</v>
      </c>
      <c r="F434" s="12" t="s">
        <v>91</v>
      </c>
      <c r="G434" s="12" t="s">
        <v>92</v>
      </c>
      <c r="H434" s="12" t="s">
        <v>58</v>
      </c>
      <c r="I434" s="12" t="s">
        <v>37</v>
      </c>
      <c r="J434" s="12">
        <v>0.983</v>
      </c>
      <c r="K434" s="12" t="s">
        <v>93</v>
      </c>
      <c r="L434" s="12" t="s">
        <v>65</v>
      </c>
      <c r="M434" s="12" t="s">
        <v>66</v>
      </c>
      <c r="N434" s="12" t="s">
        <v>14</v>
      </c>
      <c r="O434" s="12" t="s">
        <v>6</v>
      </c>
      <c r="P434" s="12">
        <v>0</v>
      </c>
      <c r="Q434" s="12">
        <v>2</v>
      </c>
      <c r="R434" s="12" t="s">
        <v>13</v>
      </c>
      <c r="S434" s="14">
        <v>0.452083333333333</v>
      </c>
      <c r="T434" s="12" t="s">
        <v>41</v>
      </c>
      <c r="U434" s="12">
        <v>1467</v>
      </c>
    </row>
    <row r="435" spans="1:21">
      <c r="A435" s="13">
        <v>45689</v>
      </c>
      <c r="B435" s="12">
        <v>123809182</v>
      </c>
      <c r="C435" s="12">
        <v>1988</v>
      </c>
      <c r="D435" s="12" t="s">
        <v>83</v>
      </c>
      <c r="E435" s="12" t="s">
        <v>33</v>
      </c>
      <c r="F435" s="12" t="s">
        <v>69</v>
      </c>
      <c r="G435" s="12" t="s">
        <v>70</v>
      </c>
      <c r="H435" s="12" t="s">
        <v>58</v>
      </c>
      <c r="I435" s="12" t="s">
        <v>45</v>
      </c>
      <c r="J435" s="12">
        <v>1.216</v>
      </c>
      <c r="K435" s="12" t="s">
        <v>71</v>
      </c>
      <c r="L435" s="12" t="s">
        <v>72</v>
      </c>
      <c r="M435" s="12" t="s">
        <v>73</v>
      </c>
      <c r="N435" s="12" t="s">
        <v>14</v>
      </c>
      <c r="O435" s="12" t="s">
        <v>6</v>
      </c>
      <c r="P435" s="12">
        <v>0</v>
      </c>
      <c r="Q435" s="12">
        <v>3</v>
      </c>
      <c r="R435" s="12" t="s">
        <v>11</v>
      </c>
      <c r="S435" s="12" t="s">
        <v>48</v>
      </c>
      <c r="T435" s="12" t="s">
        <v>48</v>
      </c>
      <c r="U435" s="12">
        <v>795</v>
      </c>
    </row>
    <row r="436" spans="1:21">
      <c r="A436" s="13">
        <v>45809</v>
      </c>
      <c r="B436" s="12">
        <v>123696815</v>
      </c>
      <c r="C436" s="12">
        <v>1991</v>
      </c>
      <c r="D436" s="12" t="s">
        <v>79</v>
      </c>
      <c r="E436" s="12" t="s">
        <v>33</v>
      </c>
      <c r="F436" s="12" t="s">
        <v>43</v>
      </c>
      <c r="G436" s="12" t="s">
        <v>44</v>
      </c>
      <c r="H436" s="12" t="s">
        <v>36</v>
      </c>
      <c r="I436" s="12" t="s">
        <v>45</v>
      </c>
      <c r="J436" s="12">
        <v>0.927</v>
      </c>
      <c r="K436" s="12" t="s">
        <v>46</v>
      </c>
      <c r="L436" s="12" t="s">
        <v>39</v>
      </c>
      <c r="M436" s="12" t="s">
        <v>78</v>
      </c>
      <c r="N436" s="12" t="s">
        <v>14</v>
      </c>
      <c r="O436" s="12" t="s">
        <v>6</v>
      </c>
      <c r="P436" s="12">
        <v>0</v>
      </c>
      <c r="Q436" s="12">
        <v>1</v>
      </c>
      <c r="R436" s="12" t="s">
        <v>13</v>
      </c>
      <c r="S436" s="12" t="s">
        <v>48</v>
      </c>
      <c r="T436" s="12" t="s">
        <v>48</v>
      </c>
      <c r="U436" s="12">
        <v>657</v>
      </c>
    </row>
    <row r="437" spans="1:21">
      <c r="A437" s="13">
        <v>45689</v>
      </c>
      <c r="B437" s="12">
        <v>123967682</v>
      </c>
      <c r="C437" s="12">
        <v>1960</v>
      </c>
      <c r="D437" s="12" t="s">
        <v>49</v>
      </c>
      <c r="E437" s="12" t="s">
        <v>50</v>
      </c>
      <c r="F437" s="12" t="s">
        <v>80</v>
      </c>
      <c r="G437" s="12" t="s">
        <v>81</v>
      </c>
      <c r="H437" s="12" t="s">
        <v>36</v>
      </c>
      <c r="I437" s="12" t="s">
        <v>45</v>
      </c>
      <c r="J437" s="12">
        <v>0.927</v>
      </c>
      <c r="K437" s="12" t="s">
        <v>82</v>
      </c>
      <c r="L437" s="12" t="s">
        <v>39</v>
      </c>
      <c r="M437" s="12" t="s">
        <v>78</v>
      </c>
      <c r="N437" s="12" t="s">
        <v>14</v>
      </c>
      <c r="O437" s="12" t="s">
        <v>6</v>
      </c>
      <c r="P437" s="12">
        <v>0</v>
      </c>
      <c r="Q437" s="12">
        <v>2</v>
      </c>
      <c r="R437" s="12" t="s">
        <v>11</v>
      </c>
      <c r="S437" s="12" t="s">
        <v>48</v>
      </c>
      <c r="T437" s="12" t="s">
        <v>48</v>
      </c>
      <c r="U437" s="12">
        <v>321</v>
      </c>
    </row>
    <row r="438" spans="1:21">
      <c r="A438" s="13">
        <v>45839</v>
      </c>
      <c r="B438" s="12">
        <v>123541909</v>
      </c>
      <c r="C438" s="12">
        <v>1996</v>
      </c>
      <c r="D438" s="12" t="s">
        <v>100</v>
      </c>
      <c r="E438" s="12" t="s">
        <v>50</v>
      </c>
      <c r="F438" s="12" t="s">
        <v>62</v>
      </c>
      <c r="G438" s="12" t="s">
        <v>63</v>
      </c>
      <c r="H438" s="12" t="s">
        <v>58</v>
      </c>
      <c r="I438" s="12" t="s">
        <v>45</v>
      </c>
      <c r="J438" s="12">
        <v>1.087</v>
      </c>
      <c r="K438" s="12" t="s">
        <v>64</v>
      </c>
      <c r="L438" s="12" t="s">
        <v>84</v>
      </c>
      <c r="M438" s="12" t="s">
        <v>85</v>
      </c>
      <c r="N438" s="12" t="s">
        <v>14</v>
      </c>
      <c r="O438" s="12" t="s">
        <v>6</v>
      </c>
      <c r="P438" s="12">
        <v>0</v>
      </c>
      <c r="Q438" s="12">
        <v>1</v>
      </c>
      <c r="R438" s="12" t="s">
        <v>13</v>
      </c>
      <c r="S438" s="12" t="s">
        <v>48</v>
      </c>
      <c r="T438" s="12" t="s">
        <v>48</v>
      </c>
      <c r="U438" s="12">
        <v>302</v>
      </c>
    </row>
    <row r="439" spans="1:21">
      <c r="A439" s="13">
        <v>45992</v>
      </c>
      <c r="B439" s="12">
        <v>123536750</v>
      </c>
      <c r="C439" s="12">
        <v>1973</v>
      </c>
      <c r="D439" s="12" t="s">
        <v>79</v>
      </c>
      <c r="E439" s="12" t="s">
        <v>33</v>
      </c>
      <c r="F439" s="12" t="s">
        <v>34</v>
      </c>
      <c r="G439" s="12" t="s">
        <v>35</v>
      </c>
      <c r="H439" s="12" t="s">
        <v>36</v>
      </c>
      <c r="I439" s="12" t="s">
        <v>45</v>
      </c>
      <c r="J439" s="12">
        <v>0.824</v>
      </c>
      <c r="K439" s="12" t="s">
        <v>38</v>
      </c>
      <c r="L439" s="12" t="s">
        <v>39</v>
      </c>
      <c r="M439" s="12" t="s">
        <v>78</v>
      </c>
      <c r="N439" s="12" t="s">
        <v>14</v>
      </c>
      <c r="O439" s="12" t="s">
        <v>5</v>
      </c>
      <c r="P439" s="12">
        <v>4</v>
      </c>
      <c r="Q439" s="12">
        <v>1</v>
      </c>
      <c r="R439" s="12" t="s">
        <v>11</v>
      </c>
      <c r="S439" s="14">
        <v>0.439583333333333</v>
      </c>
      <c r="T439" s="12" t="s">
        <v>41</v>
      </c>
      <c r="U439" s="12">
        <v>27872</v>
      </c>
    </row>
    <row r="440" spans="1:21">
      <c r="A440" s="13">
        <v>45658</v>
      </c>
      <c r="B440" s="12">
        <v>123707141</v>
      </c>
      <c r="C440" s="12">
        <v>2001</v>
      </c>
      <c r="D440" s="12" t="s">
        <v>42</v>
      </c>
      <c r="E440" s="12" t="s">
        <v>50</v>
      </c>
      <c r="F440" s="12" t="s">
        <v>62</v>
      </c>
      <c r="G440" s="12" t="s">
        <v>63</v>
      </c>
      <c r="H440" s="12" t="s">
        <v>58</v>
      </c>
      <c r="I440" s="12" t="s">
        <v>45</v>
      </c>
      <c r="J440" s="12">
        <v>1.197</v>
      </c>
      <c r="K440" s="12" t="s">
        <v>64</v>
      </c>
      <c r="L440" s="12" t="s">
        <v>39</v>
      </c>
      <c r="M440" s="12" t="s">
        <v>40</v>
      </c>
      <c r="N440" s="12" t="s">
        <v>14</v>
      </c>
      <c r="O440" s="12" t="s">
        <v>6</v>
      </c>
      <c r="P440" s="12">
        <v>0</v>
      </c>
      <c r="Q440" s="12">
        <v>2</v>
      </c>
      <c r="R440" s="12" t="s">
        <v>13</v>
      </c>
      <c r="S440" s="12" t="s">
        <v>48</v>
      </c>
      <c r="T440" s="12" t="s">
        <v>48</v>
      </c>
      <c r="U440" s="12">
        <v>199</v>
      </c>
    </row>
    <row r="441" spans="1:21">
      <c r="A441" s="13">
        <v>45778</v>
      </c>
      <c r="B441" s="12">
        <v>123732543</v>
      </c>
      <c r="C441" s="12">
        <v>1959</v>
      </c>
      <c r="D441" s="12" t="s">
        <v>79</v>
      </c>
      <c r="E441" s="12" t="s">
        <v>50</v>
      </c>
      <c r="F441" s="12" t="s">
        <v>34</v>
      </c>
      <c r="G441" s="12" t="s">
        <v>35</v>
      </c>
      <c r="H441" s="12" t="s">
        <v>36</v>
      </c>
      <c r="I441" s="12" t="s">
        <v>45</v>
      </c>
      <c r="J441" s="12">
        <v>1.022</v>
      </c>
      <c r="K441" s="12" t="s">
        <v>38</v>
      </c>
      <c r="L441" s="12" t="s">
        <v>84</v>
      </c>
      <c r="M441" s="12" t="s">
        <v>89</v>
      </c>
      <c r="N441" s="12" t="s">
        <v>14</v>
      </c>
      <c r="O441" s="12" t="s">
        <v>6</v>
      </c>
      <c r="P441" s="12">
        <v>0</v>
      </c>
      <c r="Q441" s="12">
        <v>1</v>
      </c>
      <c r="R441" s="12" t="s">
        <v>11</v>
      </c>
      <c r="S441" s="12" t="s">
        <v>48</v>
      </c>
      <c r="T441" s="12" t="s">
        <v>48</v>
      </c>
      <c r="U441" s="12">
        <v>770</v>
      </c>
    </row>
    <row r="442" spans="1:21">
      <c r="A442" s="13">
        <v>45992</v>
      </c>
      <c r="B442" s="12">
        <v>123831835</v>
      </c>
      <c r="C442" s="12">
        <v>1972</v>
      </c>
      <c r="D442" s="12" t="s">
        <v>49</v>
      </c>
      <c r="E442" s="12" t="s">
        <v>50</v>
      </c>
      <c r="F442" s="12" t="s">
        <v>51</v>
      </c>
      <c r="G442" s="12" t="s">
        <v>52</v>
      </c>
      <c r="H442" s="12" t="s">
        <v>53</v>
      </c>
      <c r="I442" s="12" t="s">
        <v>45</v>
      </c>
      <c r="J442" s="12">
        <v>1.09</v>
      </c>
      <c r="K442" s="12" t="s">
        <v>54</v>
      </c>
      <c r="L442" s="12" t="s">
        <v>84</v>
      </c>
      <c r="M442" s="12" t="s">
        <v>89</v>
      </c>
      <c r="N442" s="12" t="s">
        <v>14</v>
      </c>
      <c r="O442" s="12" t="s">
        <v>6</v>
      </c>
      <c r="P442" s="12">
        <v>0</v>
      </c>
      <c r="Q442" s="12">
        <v>2</v>
      </c>
      <c r="R442" s="12" t="s">
        <v>11</v>
      </c>
      <c r="S442" s="12" t="s">
        <v>48</v>
      </c>
      <c r="T442" s="12" t="s">
        <v>48</v>
      </c>
      <c r="U442" s="12">
        <v>1040</v>
      </c>
    </row>
    <row r="443" spans="1:21">
      <c r="A443" s="13">
        <v>45748</v>
      </c>
      <c r="B443" s="12">
        <v>123675794</v>
      </c>
      <c r="C443" s="12">
        <v>1980</v>
      </c>
      <c r="D443" s="12" t="s">
        <v>74</v>
      </c>
      <c r="E443" s="12" t="s">
        <v>50</v>
      </c>
      <c r="F443" s="12" t="s">
        <v>86</v>
      </c>
      <c r="G443" s="12" t="s">
        <v>87</v>
      </c>
      <c r="H443" s="12" t="s">
        <v>58</v>
      </c>
      <c r="I443" s="12" t="s">
        <v>45</v>
      </c>
      <c r="J443" s="12">
        <v>1.056</v>
      </c>
      <c r="K443" s="12" t="s">
        <v>88</v>
      </c>
      <c r="L443" s="12" t="s">
        <v>99</v>
      </c>
      <c r="M443" s="12" t="s">
        <v>48</v>
      </c>
      <c r="N443" s="12" t="s">
        <v>12</v>
      </c>
      <c r="O443" s="12" t="s">
        <v>6</v>
      </c>
      <c r="P443" s="12">
        <v>0</v>
      </c>
      <c r="Q443" s="12">
        <v>2</v>
      </c>
      <c r="R443" s="12" t="s">
        <v>11</v>
      </c>
      <c r="S443" s="12" t="s">
        <v>48</v>
      </c>
      <c r="T443" s="12" t="s">
        <v>48</v>
      </c>
      <c r="U443" s="12">
        <v>747</v>
      </c>
    </row>
    <row r="444" spans="1:21">
      <c r="A444" s="13">
        <v>45689</v>
      </c>
      <c r="B444" s="12">
        <v>123953060</v>
      </c>
      <c r="C444" s="12">
        <v>1974</v>
      </c>
      <c r="D444" s="12" t="s">
        <v>83</v>
      </c>
      <c r="E444" s="12" t="s">
        <v>50</v>
      </c>
      <c r="F444" s="12" t="s">
        <v>56</v>
      </c>
      <c r="G444" s="12" t="s">
        <v>57</v>
      </c>
      <c r="H444" s="12" t="s">
        <v>58</v>
      </c>
      <c r="I444" s="12" t="s">
        <v>45</v>
      </c>
      <c r="J444" s="12">
        <v>0.944</v>
      </c>
      <c r="K444" s="12" t="s">
        <v>59</v>
      </c>
      <c r="L444" s="12" t="s">
        <v>39</v>
      </c>
      <c r="M444" s="12" t="s">
        <v>40</v>
      </c>
      <c r="N444" s="12" t="s">
        <v>14</v>
      </c>
      <c r="O444" s="12" t="s">
        <v>6</v>
      </c>
      <c r="P444" s="12">
        <v>0</v>
      </c>
      <c r="Q444" s="12">
        <v>1</v>
      </c>
      <c r="R444" s="12" t="s">
        <v>11</v>
      </c>
      <c r="S444" s="12" t="s">
        <v>48</v>
      </c>
      <c r="T444" s="12" t="s">
        <v>48</v>
      </c>
      <c r="U444" s="12">
        <v>1190</v>
      </c>
    </row>
    <row r="445" spans="1:21">
      <c r="A445" s="13">
        <v>45809</v>
      </c>
      <c r="B445" s="12">
        <v>123713947</v>
      </c>
      <c r="C445" s="12">
        <v>1985</v>
      </c>
      <c r="D445" s="12" t="s">
        <v>98</v>
      </c>
      <c r="E445" s="12" t="s">
        <v>50</v>
      </c>
      <c r="F445" s="12" t="s">
        <v>86</v>
      </c>
      <c r="G445" s="12" t="s">
        <v>87</v>
      </c>
      <c r="H445" s="12" t="s">
        <v>58</v>
      </c>
      <c r="I445" s="12" t="s">
        <v>45</v>
      </c>
      <c r="J445" s="12">
        <v>0.984</v>
      </c>
      <c r="K445" s="12" t="s">
        <v>88</v>
      </c>
      <c r="L445" s="12" t="s">
        <v>39</v>
      </c>
      <c r="M445" s="12" t="s">
        <v>40</v>
      </c>
      <c r="N445" s="12" t="s">
        <v>14</v>
      </c>
      <c r="O445" s="12" t="s">
        <v>5</v>
      </c>
      <c r="P445" s="12">
        <v>2</v>
      </c>
      <c r="Q445" s="12">
        <v>3</v>
      </c>
      <c r="R445" s="12" t="s">
        <v>11</v>
      </c>
      <c r="S445" s="14">
        <v>0.461111111111111</v>
      </c>
      <c r="T445" s="12" t="s">
        <v>41</v>
      </c>
      <c r="U445" s="12">
        <v>20053</v>
      </c>
    </row>
    <row r="446" spans="1:21">
      <c r="A446" s="13">
        <v>45839</v>
      </c>
      <c r="B446" s="12">
        <v>123526358</v>
      </c>
      <c r="C446" s="12">
        <v>1995</v>
      </c>
      <c r="D446" s="12" t="s">
        <v>68</v>
      </c>
      <c r="E446" s="12" t="s">
        <v>33</v>
      </c>
      <c r="F446" s="12" t="s">
        <v>62</v>
      </c>
      <c r="G446" s="12" t="s">
        <v>63</v>
      </c>
      <c r="H446" s="12" t="s">
        <v>58</v>
      </c>
      <c r="I446" s="12" t="s">
        <v>37</v>
      </c>
      <c r="J446" s="12">
        <v>0.986</v>
      </c>
      <c r="K446" s="12" t="s">
        <v>64</v>
      </c>
      <c r="L446" s="12" t="s">
        <v>72</v>
      </c>
      <c r="M446" s="12" t="s">
        <v>95</v>
      </c>
      <c r="N446" s="12" t="s">
        <v>14</v>
      </c>
      <c r="O446" s="12" t="s">
        <v>6</v>
      </c>
      <c r="P446" s="12">
        <v>0</v>
      </c>
      <c r="Q446" s="12">
        <v>2</v>
      </c>
      <c r="R446" s="12" t="s">
        <v>11</v>
      </c>
      <c r="S446" s="14">
        <v>0.905555555555556</v>
      </c>
      <c r="T446" s="12" t="s">
        <v>67</v>
      </c>
      <c r="U446" s="12">
        <v>395</v>
      </c>
    </row>
    <row r="447" spans="1:21">
      <c r="A447" s="13">
        <v>45870</v>
      </c>
      <c r="B447" s="12">
        <v>123520854</v>
      </c>
      <c r="C447" s="12">
        <v>1957</v>
      </c>
      <c r="D447" s="12" t="s">
        <v>100</v>
      </c>
      <c r="E447" s="12" t="s">
        <v>33</v>
      </c>
      <c r="F447" s="12" t="s">
        <v>80</v>
      </c>
      <c r="G447" s="12" t="s">
        <v>81</v>
      </c>
      <c r="H447" s="12" t="s">
        <v>36</v>
      </c>
      <c r="I447" s="12" t="s">
        <v>45</v>
      </c>
      <c r="J447" s="12">
        <v>0.952</v>
      </c>
      <c r="K447" s="12" t="s">
        <v>82</v>
      </c>
      <c r="L447" s="12" t="s">
        <v>84</v>
      </c>
      <c r="M447" s="12" t="s">
        <v>89</v>
      </c>
      <c r="N447" s="12" t="s">
        <v>14</v>
      </c>
      <c r="O447" s="12" t="s">
        <v>5</v>
      </c>
      <c r="P447" s="12">
        <v>4</v>
      </c>
      <c r="Q447" s="12">
        <v>2</v>
      </c>
      <c r="R447" s="12" t="s">
        <v>11</v>
      </c>
      <c r="S447" s="14">
        <v>0.285416666666667</v>
      </c>
      <c r="T447" s="12" t="s">
        <v>41</v>
      </c>
      <c r="U447" s="12">
        <v>19358</v>
      </c>
    </row>
    <row r="448" spans="1:21">
      <c r="A448" s="13">
        <v>45748</v>
      </c>
      <c r="B448" s="12">
        <v>123985531</v>
      </c>
      <c r="C448" s="12">
        <v>2000</v>
      </c>
      <c r="D448" s="12" t="s">
        <v>61</v>
      </c>
      <c r="E448" s="12" t="s">
        <v>50</v>
      </c>
      <c r="F448" s="12" t="s">
        <v>62</v>
      </c>
      <c r="G448" s="12" t="s">
        <v>63</v>
      </c>
      <c r="H448" s="12" t="s">
        <v>58</v>
      </c>
      <c r="I448" s="12" t="s">
        <v>45</v>
      </c>
      <c r="J448" s="12">
        <v>1.049</v>
      </c>
      <c r="K448" s="12" t="s">
        <v>64</v>
      </c>
      <c r="L448" s="12" t="s">
        <v>39</v>
      </c>
      <c r="M448" s="12" t="s">
        <v>78</v>
      </c>
      <c r="N448" s="12" t="s">
        <v>14</v>
      </c>
      <c r="O448" s="12" t="s">
        <v>6</v>
      </c>
      <c r="P448" s="12">
        <v>0</v>
      </c>
      <c r="Q448" s="12">
        <v>2</v>
      </c>
      <c r="R448" s="12" t="s">
        <v>11</v>
      </c>
      <c r="S448" s="14">
        <v>0.436111111111111</v>
      </c>
      <c r="T448" s="12" t="s">
        <v>41</v>
      </c>
      <c r="U448" s="12">
        <v>769</v>
      </c>
    </row>
    <row r="449" spans="1:21">
      <c r="A449" s="13">
        <v>45992</v>
      </c>
      <c r="B449" s="12">
        <v>123528947</v>
      </c>
      <c r="C449" s="12">
        <v>1996</v>
      </c>
      <c r="D449" s="12" t="s">
        <v>42</v>
      </c>
      <c r="E449" s="12" t="s">
        <v>33</v>
      </c>
      <c r="F449" s="12" t="s">
        <v>56</v>
      </c>
      <c r="G449" s="12" t="s">
        <v>57</v>
      </c>
      <c r="H449" s="12" t="s">
        <v>58</v>
      </c>
      <c r="I449" s="12" t="s">
        <v>45</v>
      </c>
      <c r="J449" s="12">
        <v>1.121</v>
      </c>
      <c r="K449" s="12" t="s">
        <v>59</v>
      </c>
      <c r="L449" s="12" t="s">
        <v>72</v>
      </c>
      <c r="M449" s="12" t="s">
        <v>95</v>
      </c>
      <c r="N449" s="12" t="s">
        <v>14</v>
      </c>
      <c r="O449" s="12" t="s">
        <v>6</v>
      </c>
      <c r="P449" s="12">
        <v>0</v>
      </c>
      <c r="Q449" s="12">
        <v>3</v>
      </c>
      <c r="R449" s="12" t="s">
        <v>11</v>
      </c>
      <c r="S449" s="12" t="s">
        <v>48</v>
      </c>
      <c r="T449" s="12" t="s">
        <v>48</v>
      </c>
      <c r="U449" s="12">
        <v>1212</v>
      </c>
    </row>
    <row r="450" spans="1:21">
      <c r="A450" s="13">
        <v>45839</v>
      </c>
      <c r="B450" s="12">
        <v>123971630</v>
      </c>
      <c r="C450" s="12">
        <v>2000</v>
      </c>
      <c r="D450" s="12" t="s">
        <v>100</v>
      </c>
      <c r="E450" s="12" t="s">
        <v>50</v>
      </c>
      <c r="F450" s="12" t="s">
        <v>51</v>
      </c>
      <c r="G450" s="12" t="s">
        <v>52</v>
      </c>
      <c r="H450" s="12" t="s">
        <v>53</v>
      </c>
      <c r="I450" s="12" t="s">
        <v>45</v>
      </c>
      <c r="J450" s="12">
        <v>1.158</v>
      </c>
      <c r="K450" s="12" t="s">
        <v>54</v>
      </c>
      <c r="L450" s="12" t="s">
        <v>39</v>
      </c>
      <c r="M450" s="12" t="s">
        <v>78</v>
      </c>
      <c r="N450" s="12" t="s">
        <v>14</v>
      </c>
      <c r="O450" s="12" t="s">
        <v>5</v>
      </c>
      <c r="P450" s="12">
        <v>6</v>
      </c>
      <c r="Q450" s="12">
        <v>1</v>
      </c>
      <c r="R450" s="12" t="s">
        <v>11</v>
      </c>
      <c r="S450" s="14">
        <v>0.278472222222222</v>
      </c>
      <c r="T450" s="12" t="s">
        <v>41</v>
      </c>
      <c r="U450" s="12">
        <v>57806</v>
      </c>
    </row>
    <row r="451" spans="1:21">
      <c r="A451" s="13">
        <v>45748</v>
      </c>
      <c r="B451" s="12">
        <v>123607272</v>
      </c>
      <c r="C451" s="12">
        <v>1984</v>
      </c>
      <c r="D451" s="12" t="s">
        <v>100</v>
      </c>
      <c r="E451" s="12" t="s">
        <v>33</v>
      </c>
      <c r="F451" s="12" t="s">
        <v>56</v>
      </c>
      <c r="G451" s="12" t="s">
        <v>57</v>
      </c>
      <c r="H451" s="12" t="s">
        <v>58</v>
      </c>
      <c r="I451" s="12" t="s">
        <v>37</v>
      </c>
      <c r="J451" s="12">
        <v>1.107</v>
      </c>
      <c r="K451" s="12" t="s">
        <v>59</v>
      </c>
      <c r="L451" s="12" t="s">
        <v>65</v>
      </c>
      <c r="M451" s="12" t="s">
        <v>66</v>
      </c>
      <c r="N451" s="12" t="s">
        <v>14</v>
      </c>
      <c r="O451" s="12" t="s">
        <v>6</v>
      </c>
      <c r="P451" s="12">
        <v>0</v>
      </c>
      <c r="Q451" s="12">
        <v>2</v>
      </c>
      <c r="R451" s="12" t="s">
        <v>13</v>
      </c>
      <c r="S451" s="12" t="s">
        <v>48</v>
      </c>
      <c r="T451" s="12" t="s">
        <v>48</v>
      </c>
      <c r="U451" s="12">
        <v>1247</v>
      </c>
    </row>
    <row r="452" spans="1:21">
      <c r="A452" s="13">
        <v>45992</v>
      </c>
      <c r="B452" s="12">
        <v>123506814</v>
      </c>
      <c r="C452" s="12">
        <v>2001</v>
      </c>
      <c r="D452" s="12" t="s">
        <v>55</v>
      </c>
      <c r="E452" s="12" t="s">
        <v>33</v>
      </c>
      <c r="F452" s="12" t="s">
        <v>86</v>
      </c>
      <c r="G452" s="12" t="s">
        <v>87</v>
      </c>
      <c r="H452" s="12" t="s">
        <v>58</v>
      </c>
      <c r="I452" s="12" t="s">
        <v>45</v>
      </c>
      <c r="J452" s="12">
        <v>1.092</v>
      </c>
      <c r="K452" s="12" t="s">
        <v>88</v>
      </c>
      <c r="L452" s="12" t="s">
        <v>65</v>
      </c>
      <c r="M452" s="12" t="s">
        <v>96</v>
      </c>
      <c r="N452" s="12" t="s">
        <v>14</v>
      </c>
      <c r="O452" s="12" t="s">
        <v>6</v>
      </c>
      <c r="P452" s="12">
        <v>0</v>
      </c>
      <c r="Q452" s="12">
        <v>2</v>
      </c>
      <c r="R452" s="12" t="s">
        <v>11</v>
      </c>
      <c r="S452" s="14">
        <v>0.304166666666667</v>
      </c>
      <c r="T452" s="12" t="s">
        <v>41</v>
      </c>
      <c r="U452" s="12">
        <v>442</v>
      </c>
    </row>
    <row r="453" spans="1:21">
      <c r="A453" s="13">
        <v>45992</v>
      </c>
      <c r="B453" s="12">
        <v>123621758</v>
      </c>
      <c r="C453" s="12">
        <v>1967</v>
      </c>
      <c r="D453" s="12" t="s">
        <v>79</v>
      </c>
      <c r="E453" s="12" t="s">
        <v>50</v>
      </c>
      <c r="F453" s="12" t="s">
        <v>43</v>
      </c>
      <c r="G453" s="12" t="s">
        <v>44</v>
      </c>
      <c r="H453" s="12" t="s">
        <v>36</v>
      </c>
      <c r="I453" s="12" t="s">
        <v>45</v>
      </c>
      <c r="J453" s="12">
        <v>0.93</v>
      </c>
      <c r="K453" s="12" t="s">
        <v>46</v>
      </c>
      <c r="L453" s="12" t="s">
        <v>72</v>
      </c>
      <c r="M453" s="12" t="s">
        <v>73</v>
      </c>
      <c r="N453" s="12" t="s">
        <v>14</v>
      </c>
      <c r="O453" s="12" t="s">
        <v>4</v>
      </c>
      <c r="P453" s="12">
        <v>1</v>
      </c>
      <c r="Q453" s="12">
        <v>1</v>
      </c>
      <c r="R453" s="12" t="s">
        <v>11</v>
      </c>
      <c r="S453" s="14">
        <v>0.286111111111111</v>
      </c>
      <c r="T453" s="12" t="s">
        <v>41</v>
      </c>
      <c r="U453" s="12">
        <v>5187</v>
      </c>
    </row>
    <row r="454" spans="1:21">
      <c r="A454" s="13">
        <v>45809</v>
      </c>
      <c r="B454" s="12">
        <v>123790395</v>
      </c>
      <c r="C454" s="12">
        <v>1978</v>
      </c>
      <c r="D454" s="12" t="s">
        <v>55</v>
      </c>
      <c r="E454" s="12" t="s">
        <v>33</v>
      </c>
      <c r="F454" s="12" t="s">
        <v>86</v>
      </c>
      <c r="G454" s="12" t="s">
        <v>87</v>
      </c>
      <c r="H454" s="12" t="s">
        <v>58</v>
      </c>
      <c r="I454" s="12" t="s">
        <v>45</v>
      </c>
      <c r="J454" s="12">
        <v>1.022</v>
      </c>
      <c r="K454" s="12" t="s">
        <v>88</v>
      </c>
      <c r="L454" s="12" t="s">
        <v>99</v>
      </c>
      <c r="M454" s="12" t="s">
        <v>48</v>
      </c>
      <c r="N454" s="12" t="s">
        <v>12</v>
      </c>
      <c r="O454" s="12" t="s">
        <v>4</v>
      </c>
      <c r="P454" s="12">
        <v>1</v>
      </c>
      <c r="Q454" s="12">
        <v>2</v>
      </c>
      <c r="R454" s="12" t="s">
        <v>13</v>
      </c>
      <c r="S454" s="12" t="s">
        <v>48</v>
      </c>
      <c r="T454" s="12" t="s">
        <v>48</v>
      </c>
      <c r="U454" s="12">
        <v>6678</v>
      </c>
    </row>
    <row r="455" spans="1:21">
      <c r="A455" s="13">
        <v>45658</v>
      </c>
      <c r="B455" s="12">
        <v>123688778</v>
      </c>
      <c r="C455" s="12">
        <v>1965</v>
      </c>
      <c r="D455" s="12" t="s">
        <v>97</v>
      </c>
      <c r="E455" s="12" t="s">
        <v>33</v>
      </c>
      <c r="F455" s="12" t="s">
        <v>69</v>
      </c>
      <c r="G455" s="12" t="s">
        <v>70</v>
      </c>
      <c r="H455" s="12" t="s">
        <v>58</v>
      </c>
      <c r="I455" s="12" t="s">
        <v>45</v>
      </c>
      <c r="J455" s="12">
        <v>1.207</v>
      </c>
      <c r="K455" s="12" t="s">
        <v>71</v>
      </c>
      <c r="L455" s="12" t="s">
        <v>99</v>
      </c>
      <c r="M455" s="12" t="s">
        <v>48</v>
      </c>
      <c r="N455" s="12" t="s">
        <v>12</v>
      </c>
      <c r="O455" s="12" t="s">
        <v>5</v>
      </c>
      <c r="P455" s="12">
        <v>5</v>
      </c>
      <c r="Q455" s="12">
        <v>3</v>
      </c>
      <c r="R455" s="12" t="s">
        <v>13</v>
      </c>
      <c r="S455" s="14">
        <v>0.318055555555556</v>
      </c>
      <c r="T455" s="12" t="s">
        <v>41</v>
      </c>
      <c r="U455" s="12">
        <v>92729</v>
      </c>
    </row>
    <row r="456" spans="1:21">
      <c r="A456" s="13">
        <v>45870</v>
      </c>
      <c r="B456" s="12">
        <v>123883354</v>
      </c>
      <c r="C456" s="12">
        <v>2001</v>
      </c>
      <c r="D456" s="12" t="s">
        <v>55</v>
      </c>
      <c r="E456" s="12" t="s">
        <v>33</v>
      </c>
      <c r="F456" s="12" t="s">
        <v>75</v>
      </c>
      <c r="G456" s="12" t="s">
        <v>76</v>
      </c>
      <c r="H456" s="12" t="s">
        <v>53</v>
      </c>
      <c r="I456" s="12" t="s">
        <v>37</v>
      </c>
      <c r="J456" s="12">
        <v>0.961</v>
      </c>
      <c r="K456" s="12" t="s">
        <v>77</v>
      </c>
      <c r="L456" s="12" t="s">
        <v>39</v>
      </c>
      <c r="M456" s="12" t="s">
        <v>40</v>
      </c>
      <c r="N456" s="12" t="s">
        <v>14</v>
      </c>
      <c r="O456" s="12" t="s">
        <v>6</v>
      </c>
      <c r="P456" s="12">
        <v>0</v>
      </c>
      <c r="Q456" s="12">
        <v>2</v>
      </c>
      <c r="R456" s="12" t="s">
        <v>11</v>
      </c>
      <c r="S456" s="12" t="s">
        <v>48</v>
      </c>
      <c r="T456" s="12" t="s">
        <v>48</v>
      </c>
      <c r="U456" s="12">
        <v>106</v>
      </c>
    </row>
    <row r="457" spans="1:21">
      <c r="A457" s="13">
        <v>45839</v>
      </c>
      <c r="B457" s="12">
        <v>123788376</v>
      </c>
      <c r="C457" s="12">
        <v>1992</v>
      </c>
      <c r="D457" s="12" t="s">
        <v>98</v>
      </c>
      <c r="E457" s="12" t="s">
        <v>33</v>
      </c>
      <c r="F457" s="12" t="s">
        <v>62</v>
      </c>
      <c r="G457" s="12" t="s">
        <v>63</v>
      </c>
      <c r="H457" s="12" t="s">
        <v>58</v>
      </c>
      <c r="I457" s="12" t="s">
        <v>45</v>
      </c>
      <c r="J457" s="12">
        <v>1.027</v>
      </c>
      <c r="K457" s="12" t="s">
        <v>64</v>
      </c>
      <c r="L457" s="12" t="s">
        <v>39</v>
      </c>
      <c r="M457" s="12" t="s">
        <v>40</v>
      </c>
      <c r="N457" s="12" t="s">
        <v>14</v>
      </c>
      <c r="O457" s="12" t="s">
        <v>6</v>
      </c>
      <c r="P457" s="12">
        <v>0</v>
      </c>
      <c r="Q457" s="12">
        <v>2</v>
      </c>
      <c r="R457" s="12" t="s">
        <v>11</v>
      </c>
      <c r="S457" s="12" t="s">
        <v>48</v>
      </c>
      <c r="T457" s="12" t="s">
        <v>48</v>
      </c>
      <c r="U457" s="12">
        <v>1800</v>
      </c>
    </row>
    <row r="458" spans="1:21">
      <c r="A458" s="13">
        <v>45689</v>
      </c>
      <c r="B458" s="12">
        <v>123674026</v>
      </c>
      <c r="C458" s="12">
        <v>2001</v>
      </c>
      <c r="D458" s="12" t="s">
        <v>90</v>
      </c>
      <c r="E458" s="12" t="s">
        <v>50</v>
      </c>
      <c r="F458" s="12" t="s">
        <v>86</v>
      </c>
      <c r="G458" s="12" t="s">
        <v>87</v>
      </c>
      <c r="H458" s="12" t="s">
        <v>58</v>
      </c>
      <c r="I458" s="12" t="s">
        <v>37</v>
      </c>
      <c r="J458" s="12">
        <v>0.964</v>
      </c>
      <c r="K458" s="12" t="s">
        <v>88</v>
      </c>
      <c r="L458" s="12" t="s">
        <v>84</v>
      </c>
      <c r="M458" s="12" t="s">
        <v>85</v>
      </c>
      <c r="N458" s="12" t="s">
        <v>14</v>
      </c>
      <c r="O458" s="12" t="s">
        <v>4</v>
      </c>
      <c r="P458" s="12">
        <v>1</v>
      </c>
      <c r="Q458" s="12">
        <v>2</v>
      </c>
      <c r="R458" s="12" t="s">
        <v>13</v>
      </c>
      <c r="S458" s="14">
        <v>0.320833333333333</v>
      </c>
      <c r="T458" s="12" t="s">
        <v>41</v>
      </c>
      <c r="U458" s="12">
        <v>6262</v>
      </c>
    </row>
    <row r="459" spans="1:21">
      <c r="A459" s="13">
        <v>45870</v>
      </c>
      <c r="B459" s="12">
        <v>123801237</v>
      </c>
      <c r="C459" s="12">
        <v>2004</v>
      </c>
      <c r="D459" s="12" t="s">
        <v>61</v>
      </c>
      <c r="E459" s="12" t="s">
        <v>50</v>
      </c>
      <c r="F459" s="12" t="s">
        <v>34</v>
      </c>
      <c r="G459" s="12" t="s">
        <v>35</v>
      </c>
      <c r="H459" s="12" t="s">
        <v>36</v>
      </c>
      <c r="I459" s="12" t="s">
        <v>37</v>
      </c>
      <c r="J459" s="12">
        <v>1.022</v>
      </c>
      <c r="K459" s="12" t="s">
        <v>38</v>
      </c>
      <c r="L459" s="12" t="s">
        <v>39</v>
      </c>
      <c r="M459" s="12" t="s">
        <v>40</v>
      </c>
      <c r="N459" s="12" t="s">
        <v>14</v>
      </c>
      <c r="O459" s="12" t="s">
        <v>4</v>
      </c>
      <c r="P459" s="12">
        <v>1</v>
      </c>
      <c r="Q459" s="12">
        <v>3</v>
      </c>
      <c r="R459" s="12" t="s">
        <v>13</v>
      </c>
      <c r="S459" s="14">
        <v>0.629861111111111</v>
      </c>
      <c r="T459" s="12" t="s">
        <v>67</v>
      </c>
      <c r="U459" s="12">
        <v>7790</v>
      </c>
    </row>
    <row r="460" spans="1:21">
      <c r="A460" s="13">
        <v>45962</v>
      </c>
      <c r="B460" s="12">
        <v>123984474</v>
      </c>
      <c r="C460" s="12">
        <v>1992</v>
      </c>
      <c r="D460" s="12" t="s">
        <v>83</v>
      </c>
      <c r="E460" s="12" t="s">
        <v>33</v>
      </c>
      <c r="F460" s="12" t="s">
        <v>62</v>
      </c>
      <c r="G460" s="12" t="s">
        <v>63</v>
      </c>
      <c r="H460" s="12" t="s">
        <v>58</v>
      </c>
      <c r="I460" s="12" t="s">
        <v>45</v>
      </c>
      <c r="J460" s="12">
        <v>1.174</v>
      </c>
      <c r="K460" s="12" t="s">
        <v>64</v>
      </c>
      <c r="L460" s="12" t="s">
        <v>39</v>
      </c>
      <c r="M460" s="12" t="s">
        <v>78</v>
      </c>
      <c r="N460" s="12" t="s">
        <v>14</v>
      </c>
      <c r="O460" s="12" t="s">
        <v>6</v>
      </c>
      <c r="P460" s="12">
        <v>0</v>
      </c>
      <c r="Q460" s="12">
        <v>3</v>
      </c>
      <c r="R460" s="12" t="s">
        <v>13</v>
      </c>
      <c r="S460" s="12" t="s">
        <v>48</v>
      </c>
      <c r="T460" s="12" t="s">
        <v>48</v>
      </c>
      <c r="U460" s="12">
        <v>762</v>
      </c>
    </row>
    <row r="461" spans="1:21">
      <c r="A461" s="13">
        <v>45689</v>
      </c>
      <c r="B461" s="12">
        <v>123680024</v>
      </c>
      <c r="C461" s="12">
        <v>1981</v>
      </c>
      <c r="D461" s="12" t="s">
        <v>68</v>
      </c>
      <c r="E461" s="12" t="s">
        <v>33</v>
      </c>
      <c r="F461" s="12" t="s">
        <v>69</v>
      </c>
      <c r="G461" s="12" t="s">
        <v>70</v>
      </c>
      <c r="H461" s="12" t="s">
        <v>58</v>
      </c>
      <c r="I461" s="12" t="s">
        <v>45</v>
      </c>
      <c r="J461" s="12">
        <v>1.089</v>
      </c>
      <c r="K461" s="12" t="s">
        <v>71</v>
      </c>
      <c r="L461" s="12" t="s">
        <v>39</v>
      </c>
      <c r="M461" s="12" t="s">
        <v>78</v>
      </c>
      <c r="N461" s="12" t="s">
        <v>14</v>
      </c>
      <c r="O461" s="12" t="s">
        <v>6</v>
      </c>
      <c r="P461" s="12">
        <v>0</v>
      </c>
      <c r="Q461" s="12">
        <v>2</v>
      </c>
      <c r="R461" s="12" t="s">
        <v>11</v>
      </c>
      <c r="S461" s="14">
        <v>0.288194444444444</v>
      </c>
      <c r="T461" s="12" t="s">
        <v>41</v>
      </c>
      <c r="U461" s="12">
        <v>1476</v>
      </c>
    </row>
    <row r="462" spans="1:21">
      <c r="A462" s="13">
        <v>45901</v>
      </c>
      <c r="B462" s="12">
        <v>123539473</v>
      </c>
      <c r="C462" s="12">
        <v>1988</v>
      </c>
      <c r="D462" s="12" t="s">
        <v>32</v>
      </c>
      <c r="E462" s="12" t="s">
        <v>33</v>
      </c>
      <c r="F462" s="12" t="s">
        <v>56</v>
      </c>
      <c r="G462" s="12" t="s">
        <v>57</v>
      </c>
      <c r="H462" s="12" t="s">
        <v>58</v>
      </c>
      <c r="I462" s="12" t="s">
        <v>45</v>
      </c>
      <c r="J462" s="12">
        <v>0.861</v>
      </c>
      <c r="K462" s="12" t="s">
        <v>59</v>
      </c>
      <c r="L462" s="12" t="s">
        <v>99</v>
      </c>
      <c r="M462" s="12" t="s">
        <v>48</v>
      </c>
      <c r="N462" s="12" t="s">
        <v>12</v>
      </c>
      <c r="O462" s="12" t="s">
        <v>6</v>
      </c>
      <c r="P462" s="12">
        <v>0</v>
      </c>
      <c r="Q462" s="12">
        <v>1</v>
      </c>
      <c r="R462" s="12" t="s">
        <v>11</v>
      </c>
      <c r="S462" s="12" t="s">
        <v>48</v>
      </c>
      <c r="T462" s="12" t="s">
        <v>48</v>
      </c>
      <c r="U462" s="12">
        <v>1385</v>
      </c>
    </row>
    <row r="463" spans="1:21">
      <c r="A463" s="13">
        <v>45689</v>
      </c>
      <c r="B463" s="12">
        <v>123678377</v>
      </c>
      <c r="C463" s="12">
        <v>1985</v>
      </c>
      <c r="D463" s="12" t="s">
        <v>79</v>
      </c>
      <c r="E463" s="12" t="s">
        <v>50</v>
      </c>
      <c r="F463" s="12" t="s">
        <v>51</v>
      </c>
      <c r="G463" s="12" t="s">
        <v>52</v>
      </c>
      <c r="H463" s="12" t="s">
        <v>53</v>
      </c>
      <c r="I463" s="12" t="s">
        <v>45</v>
      </c>
      <c r="J463" s="12">
        <v>1.027</v>
      </c>
      <c r="K463" s="12" t="s">
        <v>54</v>
      </c>
      <c r="L463" s="12" t="s">
        <v>72</v>
      </c>
      <c r="M463" s="12" t="s">
        <v>73</v>
      </c>
      <c r="N463" s="12" t="s">
        <v>14</v>
      </c>
      <c r="O463" s="12" t="s">
        <v>6</v>
      </c>
      <c r="P463" s="12">
        <v>0</v>
      </c>
      <c r="Q463" s="12">
        <v>1</v>
      </c>
      <c r="R463" s="12" t="s">
        <v>11</v>
      </c>
      <c r="S463" s="12" t="s">
        <v>48</v>
      </c>
      <c r="T463" s="12" t="s">
        <v>48</v>
      </c>
      <c r="U463" s="12">
        <v>458</v>
      </c>
    </row>
    <row r="464" spans="1:21">
      <c r="A464" s="13">
        <v>45901</v>
      </c>
      <c r="B464" s="12">
        <v>123913021</v>
      </c>
      <c r="C464" s="12">
        <v>1979</v>
      </c>
      <c r="D464" s="12" t="s">
        <v>61</v>
      </c>
      <c r="E464" s="12" t="s">
        <v>50</v>
      </c>
      <c r="F464" s="12" t="s">
        <v>34</v>
      </c>
      <c r="G464" s="12" t="s">
        <v>35</v>
      </c>
      <c r="H464" s="12" t="s">
        <v>36</v>
      </c>
      <c r="I464" s="12" t="s">
        <v>45</v>
      </c>
      <c r="J464" s="12">
        <v>0.997</v>
      </c>
      <c r="K464" s="12" t="s">
        <v>38</v>
      </c>
      <c r="L464" s="12" t="s">
        <v>65</v>
      </c>
      <c r="M464" s="12" t="s">
        <v>96</v>
      </c>
      <c r="N464" s="12" t="s">
        <v>14</v>
      </c>
      <c r="O464" s="12" t="s">
        <v>5</v>
      </c>
      <c r="P464" s="12">
        <v>5</v>
      </c>
      <c r="Q464" s="12">
        <v>2</v>
      </c>
      <c r="R464" s="12" t="s">
        <v>11</v>
      </c>
      <c r="S464" s="14">
        <v>0.870833333333333</v>
      </c>
      <c r="T464" s="12" t="s">
        <v>67</v>
      </c>
      <c r="U464" s="12">
        <v>69454</v>
      </c>
    </row>
    <row r="465" spans="1:21">
      <c r="A465" s="13">
        <v>45809</v>
      </c>
      <c r="B465" s="12">
        <v>123574389</v>
      </c>
      <c r="C465" s="12">
        <v>1956</v>
      </c>
      <c r="D465" s="12" t="s">
        <v>90</v>
      </c>
      <c r="E465" s="12" t="s">
        <v>50</v>
      </c>
      <c r="F465" s="12" t="s">
        <v>91</v>
      </c>
      <c r="G465" s="12" t="s">
        <v>92</v>
      </c>
      <c r="H465" s="12" t="s">
        <v>58</v>
      </c>
      <c r="I465" s="12" t="s">
        <v>45</v>
      </c>
      <c r="J465" s="12">
        <v>1.042</v>
      </c>
      <c r="K465" s="12" t="s">
        <v>93</v>
      </c>
      <c r="L465" s="12" t="s">
        <v>39</v>
      </c>
      <c r="M465" s="12" t="s">
        <v>40</v>
      </c>
      <c r="N465" s="12" t="s">
        <v>14</v>
      </c>
      <c r="O465" s="12" t="s">
        <v>6</v>
      </c>
      <c r="P465" s="12">
        <v>0</v>
      </c>
      <c r="Q465" s="12">
        <v>3</v>
      </c>
      <c r="R465" s="12" t="s">
        <v>11</v>
      </c>
      <c r="S465" s="12" t="s">
        <v>48</v>
      </c>
      <c r="T465" s="12" t="s">
        <v>48</v>
      </c>
      <c r="U465" s="12">
        <v>1659</v>
      </c>
    </row>
    <row r="466" spans="1:21">
      <c r="A466" s="13">
        <v>45658</v>
      </c>
      <c r="B466" s="12">
        <v>123972332</v>
      </c>
      <c r="C466" s="12">
        <v>1992</v>
      </c>
      <c r="D466" s="12" t="s">
        <v>83</v>
      </c>
      <c r="E466" s="12" t="s">
        <v>33</v>
      </c>
      <c r="F466" s="12" t="s">
        <v>62</v>
      </c>
      <c r="G466" s="12" t="s">
        <v>63</v>
      </c>
      <c r="H466" s="12" t="s">
        <v>58</v>
      </c>
      <c r="I466" s="12" t="s">
        <v>45</v>
      </c>
      <c r="J466" s="12">
        <v>1.212</v>
      </c>
      <c r="K466" s="12" t="s">
        <v>64</v>
      </c>
      <c r="L466" s="12" t="s">
        <v>39</v>
      </c>
      <c r="M466" s="12" t="s">
        <v>40</v>
      </c>
      <c r="N466" s="12" t="s">
        <v>14</v>
      </c>
      <c r="O466" s="12" t="s">
        <v>6</v>
      </c>
      <c r="P466" s="12">
        <v>0</v>
      </c>
      <c r="Q466" s="12">
        <v>2</v>
      </c>
      <c r="R466" s="12" t="s">
        <v>13</v>
      </c>
      <c r="S466" s="12" t="s">
        <v>48</v>
      </c>
      <c r="T466" s="12" t="s">
        <v>48</v>
      </c>
      <c r="U466" s="12">
        <v>2570</v>
      </c>
    </row>
    <row r="467" spans="1:21">
      <c r="A467" s="13">
        <v>45992</v>
      </c>
      <c r="B467" s="12">
        <v>123776038</v>
      </c>
      <c r="C467" s="12">
        <v>1985</v>
      </c>
      <c r="D467" s="12" t="s">
        <v>79</v>
      </c>
      <c r="E467" s="12" t="s">
        <v>50</v>
      </c>
      <c r="F467" s="12" t="s">
        <v>91</v>
      </c>
      <c r="G467" s="12" t="s">
        <v>92</v>
      </c>
      <c r="H467" s="12" t="s">
        <v>58</v>
      </c>
      <c r="I467" s="12" t="s">
        <v>45</v>
      </c>
      <c r="J467" s="12">
        <v>1.041</v>
      </c>
      <c r="K467" s="12" t="s">
        <v>93</v>
      </c>
      <c r="L467" s="12" t="s">
        <v>60</v>
      </c>
      <c r="M467" s="12" t="s">
        <v>48</v>
      </c>
      <c r="N467" s="12" t="s">
        <v>12</v>
      </c>
      <c r="O467" s="12" t="s">
        <v>6</v>
      </c>
      <c r="P467" s="12">
        <v>0</v>
      </c>
      <c r="Q467" s="12">
        <v>1</v>
      </c>
      <c r="R467" s="12" t="s">
        <v>11</v>
      </c>
      <c r="S467" s="14">
        <v>0.334722222222222</v>
      </c>
      <c r="T467" s="12" t="s">
        <v>41</v>
      </c>
      <c r="U467" s="12">
        <v>996</v>
      </c>
    </row>
    <row r="468" spans="1:21">
      <c r="A468" s="13">
        <v>45689</v>
      </c>
      <c r="B468" s="12">
        <v>123783255</v>
      </c>
      <c r="C468" s="12">
        <v>1987</v>
      </c>
      <c r="D468" s="12" t="s">
        <v>97</v>
      </c>
      <c r="E468" s="12" t="s">
        <v>33</v>
      </c>
      <c r="F468" s="12" t="s">
        <v>62</v>
      </c>
      <c r="G468" s="12" t="s">
        <v>63</v>
      </c>
      <c r="H468" s="12" t="s">
        <v>58</v>
      </c>
      <c r="I468" s="12" t="s">
        <v>45</v>
      </c>
      <c r="J468" s="12">
        <v>1.11</v>
      </c>
      <c r="K468" s="12" t="s">
        <v>64</v>
      </c>
      <c r="L468" s="12" t="s">
        <v>39</v>
      </c>
      <c r="M468" s="12" t="s">
        <v>78</v>
      </c>
      <c r="N468" s="12" t="s">
        <v>14</v>
      </c>
      <c r="O468" s="12" t="s">
        <v>6</v>
      </c>
      <c r="P468" s="12">
        <v>0</v>
      </c>
      <c r="Q468" s="12">
        <v>1</v>
      </c>
      <c r="R468" s="12" t="s">
        <v>13</v>
      </c>
      <c r="S468" s="12" t="s">
        <v>48</v>
      </c>
      <c r="T468" s="12" t="s">
        <v>48</v>
      </c>
      <c r="U468" s="12">
        <v>632</v>
      </c>
    </row>
    <row r="469" spans="1:21">
      <c r="A469" s="13">
        <v>45870</v>
      </c>
      <c r="B469" s="12">
        <v>123628469</v>
      </c>
      <c r="C469" s="12">
        <v>1960</v>
      </c>
      <c r="D469" s="12" t="s">
        <v>90</v>
      </c>
      <c r="E469" s="12" t="s">
        <v>33</v>
      </c>
      <c r="F469" s="12" t="s">
        <v>62</v>
      </c>
      <c r="G469" s="12" t="s">
        <v>63</v>
      </c>
      <c r="H469" s="12" t="s">
        <v>58</v>
      </c>
      <c r="I469" s="12" t="s">
        <v>45</v>
      </c>
      <c r="J469" s="12">
        <v>1.261</v>
      </c>
      <c r="K469" s="12" t="s">
        <v>64</v>
      </c>
      <c r="L469" s="12" t="s">
        <v>39</v>
      </c>
      <c r="M469" s="12" t="s">
        <v>40</v>
      </c>
      <c r="N469" s="12" t="s">
        <v>14</v>
      </c>
      <c r="O469" s="12" t="s">
        <v>6</v>
      </c>
      <c r="P469" s="12">
        <v>0</v>
      </c>
      <c r="Q469" s="12">
        <v>2</v>
      </c>
      <c r="R469" s="12" t="s">
        <v>13</v>
      </c>
      <c r="S469" s="12" t="s">
        <v>48</v>
      </c>
      <c r="T469" s="12" t="s">
        <v>48</v>
      </c>
      <c r="U469" s="12">
        <v>461</v>
      </c>
    </row>
    <row r="470" spans="1:21">
      <c r="A470" s="13">
        <v>45717</v>
      </c>
      <c r="B470" s="12">
        <v>123956727</v>
      </c>
      <c r="C470" s="12">
        <v>1980</v>
      </c>
      <c r="D470" s="12" t="s">
        <v>90</v>
      </c>
      <c r="E470" s="12" t="s">
        <v>50</v>
      </c>
      <c r="F470" s="12" t="s">
        <v>91</v>
      </c>
      <c r="G470" s="12" t="s">
        <v>92</v>
      </c>
      <c r="H470" s="12" t="s">
        <v>58</v>
      </c>
      <c r="I470" s="12" t="s">
        <v>45</v>
      </c>
      <c r="J470" s="12">
        <v>0.97</v>
      </c>
      <c r="K470" s="12" t="s">
        <v>93</v>
      </c>
      <c r="L470" s="12" t="s">
        <v>39</v>
      </c>
      <c r="M470" s="12" t="s">
        <v>47</v>
      </c>
      <c r="N470" s="12" t="s">
        <v>14</v>
      </c>
      <c r="O470" s="12" t="s">
        <v>6</v>
      </c>
      <c r="P470" s="12">
        <v>0</v>
      </c>
      <c r="Q470" s="12">
        <v>3</v>
      </c>
      <c r="R470" s="12" t="s">
        <v>11</v>
      </c>
      <c r="S470" s="14">
        <v>0.345833333333333</v>
      </c>
      <c r="T470" s="12" t="s">
        <v>41</v>
      </c>
      <c r="U470" s="12">
        <v>928</v>
      </c>
    </row>
    <row r="471" spans="1:21">
      <c r="A471" s="13">
        <v>45992</v>
      </c>
      <c r="B471" s="12">
        <v>123475616</v>
      </c>
      <c r="C471" s="12">
        <v>1970</v>
      </c>
      <c r="D471" s="12" t="s">
        <v>83</v>
      </c>
      <c r="E471" s="12" t="s">
        <v>50</v>
      </c>
      <c r="F471" s="12" t="s">
        <v>86</v>
      </c>
      <c r="G471" s="12" t="s">
        <v>87</v>
      </c>
      <c r="H471" s="12" t="s">
        <v>58</v>
      </c>
      <c r="I471" s="12" t="s">
        <v>37</v>
      </c>
      <c r="J471" s="12">
        <v>0.861</v>
      </c>
      <c r="K471" s="12" t="s">
        <v>88</v>
      </c>
      <c r="L471" s="12" t="s">
        <v>84</v>
      </c>
      <c r="M471" s="12" t="s">
        <v>89</v>
      </c>
      <c r="N471" s="12" t="s">
        <v>14</v>
      </c>
      <c r="O471" s="12" t="s">
        <v>6</v>
      </c>
      <c r="P471" s="12">
        <v>0</v>
      </c>
      <c r="Q471" s="12">
        <v>1</v>
      </c>
      <c r="R471" s="12" t="s">
        <v>11</v>
      </c>
      <c r="S471" s="14">
        <v>0.470138888888889</v>
      </c>
      <c r="T471" s="12" t="s">
        <v>41</v>
      </c>
      <c r="U471" s="12">
        <v>389</v>
      </c>
    </row>
    <row r="472" spans="1:21">
      <c r="A472" s="13">
        <v>45901</v>
      </c>
      <c r="B472" s="12">
        <v>123618476</v>
      </c>
      <c r="C472" s="12">
        <v>1970</v>
      </c>
      <c r="D472" s="12" t="s">
        <v>42</v>
      </c>
      <c r="E472" s="12" t="s">
        <v>50</v>
      </c>
      <c r="F472" s="12" t="s">
        <v>80</v>
      </c>
      <c r="G472" s="12" t="s">
        <v>81</v>
      </c>
      <c r="H472" s="12" t="s">
        <v>36</v>
      </c>
      <c r="I472" s="12" t="s">
        <v>45</v>
      </c>
      <c r="J472" s="12">
        <v>0.998</v>
      </c>
      <c r="K472" s="12" t="s">
        <v>82</v>
      </c>
      <c r="L472" s="12" t="s">
        <v>39</v>
      </c>
      <c r="M472" s="12" t="s">
        <v>78</v>
      </c>
      <c r="N472" s="12" t="s">
        <v>14</v>
      </c>
      <c r="O472" s="12" t="s">
        <v>4</v>
      </c>
      <c r="P472" s="12">
        <v>1</v>
      </c>
      <c r="Q472" s="12">
        <v>2</v>
      </c>
      <c r="R472" s="12" t="s">
        <v>13</v>
      </c>
      <c r="S472" s="14">
        <v>0.758333333333333</v>
      </c>
      <c r="T472" s="12" t="s">
        <v>67</v>
      </c>
      <c r="U472" s="12">
        <v>4945</v>
      </c>
    </row>
    <row r="473" spans="1:21">
      <c r="A473" s="13">
        <v>45931</v>
      </c>
      <c r="B473" s="12">
        <v>123683609</v>
      </c>
      <c r="C473" s="12">
        <v>1956</v>
      </c>
      <c r="D473" s="12" t="s">
        <v>32</v>
      </c>
      <c r="E473" s="12" t="s">
        <v>33</v>
      </c>
      <c r="F473" s="12" t="s">
        <v>43</v>
      </c>
      <c r="G473" s="12" t="s">
        <v>44</v>
      </c>
      <c r="H473" s="12" t="s">
        <v>36</v>
      </c>
      <c r="I473" s="12" t="s">
        <v>45</v>
      </c>
      <c r="J473" s="12">
        <v>0.975</v>
      </c>
      <c r="K473" s="12" t="s">
        <v>46</v>
      </c>
      <c r="L473" s="12" t="s">
        <v>39</v>
      </c>
      <c r="M473" s="12" t="s">
        <v>78</v>
      </c>
      <c r="N473" s="12" t="s">
        <v>14</v>
      </c>
      <c r="O473" s="12" t="s">
        <v>6</v>
      </c>
      <c r="P473" s="12">
        <v>0</v>
      </c>
      <c r="Q473" s="12">
        <v>2</v>
      </c>
      <c r="R473" s="12" t="s">
        <v>11</v>
      </c>
      <c r="S473" s="12" t="s">
        <v>48</v>
      </c>
      <c r="T473" s="12" t="s">
        <v>48</v>
      </c>
      <c r="U473" s="12">
        <v>233</v>
      </c>
    </row>
    <row r="474" spans="1:21">
      <c r="A474" s="13">
        <v>45809</v>
      </c>
      <c r="B474" s="12">
        <v>123715637</v>
      </c>
      <c r="C474" s="12">
        <v>1969</v>
      </c>
      <c r="D474" s="12" t="s">
        <v>79</v>
      </c>
      <c r="E474" s="12" t="s">
        <v>33</v>
      </c>
      <c r="F474" s="12" t="s">
        <v>34</v>
      </c>
      <c r="G474" s="12" t="s">
        <v>35</v>
      </c>
      <c r="H474" s="12" t="s">
        <v>36</v>
      </c>
      <c r="I474" s="12" t="s">
        <v>45</v>
      </c>
      <c r="J474" s="12">
        <v>0.805</v>
      </c>
      <c r="K474" s="12" t="s">
        <v>38</v>
      </c>
      <c r="L474" s="12" t="s">
        <v>39</v>
      </c>
      <c r="M474" s="12" t="s">
        <v>40</v>
      </c>
      <c r="N474" s="12" t="s">
        <v>14</v>
      </c>
      <c r="O474" s="12" t="s">
        <v>6</v>
      </c>
      <c r="P474" s="12">
        <v>0</v>
      </c>
      <c r="Q474" s="12">
        <v>3</v>
      </c>
      <c r="R474" s="12" t="s">
        <v>11</v>
      </c>
      <c r="S474" s="12" t="s">
        <v>48</v>
      </c>
      <c r="T474" s="12" t="s">
        <v>48</v>
      </c>
      <c r="U474" s="12">
        <v>1580</v>
      </c>
    </row>
    <row r="475" spans="1:21">
      <c r="A475" s="13">
        <v>45809</v>
      </c>
      <c r="B475" s="12">
        <v>123713927</v>
      </c>
      <c r="C475" s="12">
        <v>1985</v>
      </c>
      <c r="D475" s="12" t="s">
        <v>68</v>
      </c>
      <c r="E475" s="12" t="s">
        <v>50</v>
      </c>
      <c r="F475" s="12" t="s">
        <v>69</v>
      </c>
      <c r="G475" s="12" t="s">
        <v>70</v>
      </c>
      <c r="H475" s="12" t="s">
        <v>58</v>
      </c>
      <c r="I475" s="12" t="s">
        <v>45</v>
      </c>
      <c r="J475" s="12">
        <v>1.009</v>
      </c>
      <c r="K475" s="12" t="s">
        <v>71</v>
      </c>
      <c r="L475" s="12" t="s">
        <v>39</v>
      </c>
      <c r="M475" s="12" t="s">
        <v>47</v>
      </c>
      <c r="N475" s="12" t="s">
        <v>14</v>
      </c>
      <c r="O475" s="12" t="s">
        <v>6</v>
      </c>
      <c r="P475" s="12">
        <v>0</v>
      </c>
      <c r="Q475" s="12">
        <v>1</v>
      </c>
      <c r="R475" s="12" t="s">
        <v>13</v>
      </c>
      <c r="S475" s="12" t="s">
        <v>48</v>
      </c>
      <c r="T475" s="12" t="s">
        <v>48</v>
      </c>
      <c r="U475" s="12">
        <v>1696</v>
      </c>
    </row>
    <row r="476" spans="1:21">
      <c r="A476" s="13">
        <v>45870</v>
      </c>
      <c r="B476" s="12">
        <v>123536470</v>
      </c>
      <c r="C476" s="12">
        <v>1982</v>
      </c>
      <c r="D476" s="12" t="s">
        <v>83</v>
      </c>
      <c r="E476" s="12" t="s">
        <v>50</v>
      </c>
      <c r="F476" s="12" t="s">
        <v>75</v>
      </c>
      <c r="G476" s="12" t="s">
        <v>76</v>
      </c>
      <c r="H476" s="12" t="s">
        <v>53</v>
      </c>
      <c r="I476" s="12" t="s">
        <v>45</v>
      </c>
      <c r="J476" s="12">
        <v>1.056</v>
      </c>
      <c r="K476" s="12" t="s">
        <v>77</v>
      </c>
      <c r="L476" s="12" t="s">
        <v>39</v>
      </c>
      <c r="M476" s="12" t="s">
        <v>40</v>
      </c>
      <c r="N476" s="12" t="s">
        <v>14</v>
      </c>
      <c r="O476" s="12" t="s">
        <v>6</v>
      </c>
      <c r="P476" s="12">
        <v>0</v>
      </c>
      <c r="Q476" s="12">
        <v>3</v>
      </c>
      <c r="R476" s="12" t="s">
        <v>13</v>
      </c>
      <c r="S476" s="12" t="s">
        <v>48</v>
      </c>
      <c r="T476" s="12" t="s">
        <v>48</v>
      </c>
      <c r="U476" s="12">
        <v>2656</v>
      </c>
    </row>
    <row r="477" spans="1:21">
      <c r="A477" s="13">
        <v>45931</v>
      </c>
      <c r="B477" s="12">
        <v>123578722</v>
      </c>
      <c r="C477" s="12">
        <v>1990</v>
      </c>
      <c r="D477" s="12" t="s">
        <v>61</v>
      </c>
      <c r="E477" s="12" t="s">
        <v>50</v>
      </c>
      <c r="F477" s="12" t="s">
        <v>56</v>
      </c>
      <c r="G477" s="12" t="s">
        <v>57</v>
      </c>
      <c r="H477" s="12" t="s">
        <v>58</v>
      </c>
      <c r="I477" s="12" t="s">
        <v>45</v>
      </c>
      <c r="J477" s="12">
        <v>1.148</v>
      </c>
      <c r="K477" s="12" t="s">
        <v>59</v>
      </c>
      <c r="L477" s="12" t="s">
        <v>72</v>
      </c>
      <c r="M477" s="12" t="s">
        <v>95</v>
      </c>
      <c r="N477" s="12" t="s">
        <v>14</v>
      </c>
      <c r="O477" s="12" t="s">
        <v>6</v>
      </c>
      <c r="P477" s="12">
        <v>0</v>
      </c>
      <c r="Q477" s="12">
        <v>2</v>
      </c>
      <c r="R477" s="12" t="s">
        <v>13</v>
      </c>
      <c r="S477" s="12" t="s">
        <v>48</v>
      </c>
      <c r="T477" s="12" t="s">
        <v>48</v>
      </c>
      <c r="U477" s="12">
        <v>1440</v>
      </c>
    </row>
    <row r="478" spans="1:21">
      <c r="A478" s="13">
        <v>45962</v>
      </c>
      <c r="B478" s="12">
        <v>123507811</v>
      </c>
      <c r="C478" s="12">
        <v>1993</v>
      </c>
      <c r="D478" s="12" t="s">
        <v>61</v>
      </c>
      <c r="E478" s="12" t="s">
        <v>50</v>
      </c>
      <c r="F478" s="12" t="s">
        <v>43</v>
      </c>
      <c r="G478" s="12" t="s">
        <v>44</v>
      </c>
      <c r="H478" s="12" t="s">
        <v>36</v>
      </c>
      <c r="I478" s="12" t="s">
        <v>37</v>
      </c>
      <c r="J478" s="12">
        <v>1.035</v>
      </c>
      <c r="K478" s="12" t="s">
        <v>46</v>
      </c>
      <c r="L478" s="12" t="s">
        <v>39</v>
      </c>
      <c r="M478" s="12" t="s">
        <v>78</v>
      </c>
      <c r="N478" s="12" t="s">
        <v>14</v>
      </c>
      <c r="O478" s="12" t="s">
        <v>6</v>
      </c>
      <c r="P478" s="12">
        <v>0</v>
      </c>
      <c r="Q478" s="12">
        <v>2</v>
      </c>
      <c r="R478" s="12" t="s">
        <v>11</v>
      </c>
      <c r="S478" s="12" t="s">
        <v>48</v>
      </c>
      <c r="T478" s="12" t="s">
        <v>48</v>
      </c>
      <c r="U478" s="12">
        <v>2235</v>
      </c>
    </row>
    <row r="479" spans="1:21">
      <c r="A479" s="13">
        <v>45658</v>
      </c>
      <c r="B479" s="12">
        <v>123767416</v>
      </c>
      <c r="C479" s="12">
        <v>1984</v>
      </c>
      <c r="D479" s="12" t="s">
        <v>74</v>
      </c>
      <c r="E479" s="12" t="s">
        <v>33</v>
      </c>
      <c r="F479" s="12" t="s">
        <v>43</v>
      </c>
      <c r="G479" s="12" t="s">
        <v>44</v>
      </c>
      <c r="H479" s="12" t="s">
        <v>36</v>
      </c>
      <c r="I479" s="12" t="s">
        <v>37</v>
      </c>
      <c r="J479" s="12">
        <v>0.9</v>
      </c>
      <c r="K479" s="12" t="s">
        <v>46</v>
      </c>
      <c r="L479" s="12" t="s">
        <v>39</v>
      </c>
      <c r="M479" s="12" t="s">
        <v>47</v>
      </c>
      <c r="N479" s="12" t="s">
        <v>14</v>
      </c>
      <c r="O479" s="12" t="s">
        <v>6</v>
      </c>
      <c r="P479" s="12">
        <v>0</v>
      </c>
      <c r="Q479" s="12">
        <v>1</v>
      </c>
      <c r="R479" s="12" t="s">
        <v>11</v>
      </c>
      <c r="S479" s="12" t="s">
        <v>48</v>
      </c>
      <c r="T479" s="12" t="s">
        <v>48</v>
      </c>
      <c r="U479" s="12">
        <v>266</v>
      </c>
    </row>
    <row r="480" spans="1:21">
      <c r="A480" s="13">
        <v>45870</v>
      </c>
      <c r="B480" s="12">
        <v>123646872</v>
      </c>
      <c r="C480" s="12">
        <v>1982</v>
      </c>
      <c r="D480" s="12" t="s">
        <v>83</v>
      </c>
      <c r="E480" s="12" t="s">
        <v>33</v>
      </c>
      <c r="F480" s="12" t="s">
        <v>43</v>
      </c>
      <c r="G480" s="12" t="s">
        <v>44</v>
      </c>
      <c r="H480" s="12" t="s">
        <v>36</v>
      </c>
      <c r="I480" s="12" t="s">
        <v>37</v>
      </c>
      <c r="J480" s="12">
        <v>1.059</v>
      </c>
      <c r="K480" s="12" t="s">
        <v>46</v>
      </c>
      <c r="L480" s="12" t="s">
        <v>84</v>
      </c>
      <c r="M480" s="12" t="s">
        <v>85</v>
      </c>
      <c r="N480" s="12" t="s">
        <v>14</v>
      </c>
      <c r="O480" s="12" t="s">
        <v>6</v>
      </c>
      <c r="P480" s="12">
        <v>0</v>
      </c>
      <c r="Q480" s="12">
        <v>2</v>
      </c>
      <c r="R480" s="12" t="s">
        <v>11</v>
      </c>
      <c r="S480" s="14">
        <v>0.854166666666667</v>
      </c>
      <c r="T480" s="12" t="s">
        <v>67</v>
      </c>
      <c r="U480" s="12">
        <v>654</v>
      </c>
    </row>
    <row r="481" spans="1:21">
      <c r="A481" s="13">
        <v>45689</v>
      </c>
      <c r="B481" s="12">
        <v>123763779</v>
      </c>
      <c r="C481" s="12">
        <v>1966</v>
      </c>
      <c r="D481" s="12" t="s">
        <v>49</v>
      </c>
      <c r="E481" s="12" t="s">
        <v>50</v>
      </c>
      <c r="F481" s="12" t="s">
        <v>56</v>
      </c>
      <c r="G481" s="12" t="s">
        <v>57</v>
      </c>
      <c r="H481" s="12" t="s">
        <v>58</v>
      </c>
      <c r="I481" s="12" t="s">
        <v>45</v>
      </c>
      <c r="J481" s="12">
        <v>1.192</v>
      </c>
      <c r="K481" s="12" t="s">
        <v>59</v>
      </c>
      <c r="L481" s="12" t="s">
        <v>84</v>
      </c>
      <c r="M481" s="12" t="s">
        <v>89</v>
      </c>
      <c r="N481" s="12" t="s">
        <v>14</v>
      </c>
      <c r="O481" s="12" t="s">
        <v>5</v>
      </c>
      <c r="P481" s="12">
        <v>4</v>
      </c>
      <c r="Q481" s="12">
        <v>2</v>
      </c>
      <c r="R481" s="12" t="s">
        <v>13</v>
      </c>
      <c r="S481" s="14">
        <v>0.416666666666667</v>
      </c>
      <c r="T481" s="12" t="s">
        <v>41</v>
      </c>
      <c r="U481" s="12">
        <v>102342</v>
      </c>
    </row>
    <row r="482" spans="1:21">
      <c r="A482" s="13">
        <v>45748</v>
      </c>
      <c r="B482" s="12">
        <v>123776804</v>
      </c>
      <c r="C482" s="12">
        <v>1996</v>
      </c>
      <c r="D482" s="12" t="s">
        <v>68</v>
      </c>
      <c r="E482" s="12" t="s">
        <v>33</v>
      </c>
      <c r="F482" s="12" t="s">
        <v>91</v>
      </c>
      <c r="G482" s="12" t="s">
        <v>92</v>
      </c>
      <c r="H482" s="12" t="s">
        <v>58</v>
      </c>
      <c r="I482" s="12" t="s">
        <v>45</v>
      </c>
      <c r="J482" s="12">
        <v>0.883</v>
      </c>
      <c r="K482" s="12" t="s">
        <v>93</v>
      </c>
      <c r="L482" s="12" t="s">
        <v>39</v>
      </c>
      <c r="M482" s="12" t="s">
        <v>47</v>
      </c>
      <c r="N482" s="12" t="s">
        <v>14</v>
      </c>
      <c r="O482" s="12" t="s">
        <v>6</v>
      </c>
      <c r="P482" s="12">
        <v>0</v>
      </c>
      <c r="Q482" s="12">
        <v>1</v>
      </c>
      <c r="R482" s="12" t="s">
        <v>11</v>
      </c>
      <c r="S482" s="12" t="s">
        <v>48</v>
      </c>
      <c r="T482" s="12" t="s">
        <v>48</v>
      </c>
      <c r="U482" s="12">
        <v>1911</v>
      </c>
    </row>
    <row r="483" spans="1:21">
      <c r="A483" s="13">
        <v>45931</v>
      </c>
      <c r="B483" s="12">
        <v>123837888</v>
      </c>
      <c r="C483" s="12">
        <v>2002</v>
      </c>
      <c r="D483" s="12" t="s">
        <v>83</v>
      </c>
      <c r="E483" s="12" t="s">
        <v>50</v>
      </c>
      <c r="F483" s="12" t="s">
        <v>62</v>
      </c>
      <c r="G483" s="12" t="s">
        <v>63</v>
      </c>
      <c r="H483" s="12" t="s">
        <v>58</v>
      </c>
      <c r="I483" s="12" t="s">
        <v>45</v>
      </c>
      <c r="J483" s="12">
        <v>0.951</v>
      </c>
      <c r="K483" s="12" t="s">
        <v>64</v>
      </c>
      <c r="L483" s="12" t="s">
        <v>39</v>
      </c>
      <c r="M483" s="12" t="s">
        <v>78</v>
      </c>
      <c r="N483" s="12" t="s">
        <v>14</v>
      </c>
      <c r="O483" s="12" t="s">
        <v>6</v>
      </c>
      <c r="P483" s="12">
        <v>0</v>
      </c>
      <c r="Q483" s="12">
        <v>2</v>
      </c>
      <c r="R483" s="12" t="s">
        <v>11</v>
      </c>
      <c r="S483" s="14">
        <v>0.595138888888889</v>
      </c>
      <c r="T483" s="12" t="s">
        <v>67</v>
      </c>
      <c r="U483" s="12">
        <v>1905</v>
      </c>
    </row>
    <row r="484" spans="1:21">
      <c r="A484" s="13">
        <v>45748</v>
      </c>
      <c r="B484" s="12">
        <v>123753586</v>
      </c>
      <c r="C484" s="12">
        <v>1984</v>
      </c>
      <c r="D484" s="12" t="s">
        <v>61</v>
      </c>
      <c r="E484" s="12" t="s">
        <v>33</v>
      </c>
      <c r="F484" s="12" t="s">
        <v>34</v>
      </c>
      <c r="G484" s="12" t="s">
        <v>35</v>
      </c>
      <c r="H484" s="12" t="s">
        <v>36</v>
      </c>
      <c r="I484" s="12" t="s">
        <v>37</v>
      </c>
      <c r="J484" s="12">
        <v>0.777</v>
      </c>
      <c r="K484" s="12" t="s">
        <v>38</v>
      </c>
      <c r="L484" s="12" t="s">
        <v>39</v>
      </c>
      <c r="M484" s="12" t="s">
        <v>40</v>
      </c>
      <c r="N484" s="12" t="s">
        <v>14</v>
      </c>
      <c r="O484" s="12" t="s">
        <v>6</v>
      </c>
      <c r="P484" s="12">
        <v>0</v>
      </c>
      <c r="Q484" s="12">
        <v>2</v>
      </c>
      <c r="R484" s="12" t="s">
        <v>11</v>
      </c>
      <c r="S484" s="12" t="s">
        <v>48</v>
      </c>
      <c r="T484" s="12" t="s">
        <v>48</v>
      </c>
      <c r="U484" s="12">
        <v>146</v>
      </c>
    </row>
    <row r="485" spans="1:21">
      <c r="A485" s="13">
        <v>45931</v>
      </c>
      <c r="B485" s="12">
        <v>123808483</v>
      </c>
      <c r="C485" s="12">
        <v>1988</v>
      </c>
      <c r="D485" s="12" t="s">
        <v>83</v>
      </c>
      <c r="E485" s="12" t="s">
        <v>50</v>
      </c>
      <c r="F485" s="12" t="s">
        <v>91</v>
      </c>
      <c r="G485" s="12" t="s">
        <v>92</v>
      </c>
      <c r="H485" s="12" t="s">
        <v>58</v>
      </c>
      <c r="I485" s="12" t="s">
        <v>45</v>
      </c>
      <c r="J485" s="12">
        <v>0.961</v>
      </c>
      <c r="K485" s="12" t="s">
        <v>93</v>
      </c>
      <c r="L485" s="12" t="s">
        <v>99</v>
      </c>
      <c r="M485" s="12" t="s">
        <v>48</v>
      </c>
      <c r="N485" s="12" t="s">
        <v>12</v>
      </c>
      <c r="O485" s="12" t="s">
        <v>6</v>
      </c>
      <c r="P485" s="12">
        <v>0</v>
      </c>
      <c r="Q485" s="12">
        <v>2</v>
      </c>
      <c r="R485" s="12" t="s">
        <v>13</v>
      </c>
      <c r="S485" s="12" t="s">
        <v>48</v>
      </c>
      <c r="T485" s="12" t="s">
        <v>48</v>
      </c>
      <c r="U485" s="12">
        <v>162</v>
      </c>
    </row>
    <row r="486" spans="1:21">
      <c r="A486" s="13">
        <v>45809</v>
      </c>
      <c r="B486" s="12">
        <v>123775409</v>
      </c>
      <c r="C486" s="12">
        <v>1972</v>
      </c>
      <c r="D486" s="12" t="s">
        <v>97</v>
      </c>
      <c r="E486" s="12" t="s">
        <v>33</v>
      </c>
      <c r="F486" s="12" t="s">
        <v>34</v>
      </c>
      <c r="G486" s="12" t="s">
        <v>35</v>
      </c>
      <c r="H486" s="12" t="s">
        <v>36</v>
      </c>
      <c r="I486" s="12" t="s">
        <v>45</v>
      </c>
      <c r="J486" s="12">
        <v>0.886</v>
      </c>
      <c r="K486" s="12" t="s">
        <v>38</v>
      </c>
      <c r="L486" s="12" t="s">
        <v>39</v>
      </c>
      <c r="M486" s="12" t="s">
        <v>78</v>
      </c>
      <c r="N486" s="12" t="s">
        <v>14</v>
      </c>
      <c r="O486" s="12" t="s">
        <v>6</v>
      </c>
      <c r="P486" s="12">
        <v>0</v>
      </c>
      <c r="Q486" s="12">
        <v>1</v>
      </c>
      <c r="R486" s="12" t="s">
        <v>11</v>
      </c>
      <c r="S486" s="12" t="s">
        <v>48</v>
      </c>
      <c r="T486" s="12" t="s">
        <v>48</v>
      </c>
      <c r="U486" s="12">
        <v>820</v>
      </c>
    </row>
    <row r="487" spans="1:21">
      <c r="A487" s="13">
        <v>45717</v>
      </c>
      <c r="B487" s="12">
        <v>123810922</v>
      </c>
      <c r="C487" s="12">
        <v>1989</v>
      </c>
      <c r="D487" s="12" t="s">
        <v>83</v>
      </c>
      <c r="E487" s="12" t="s">
        <v>33</v>
      </c>
      <c r="F487" s="12" t="s">
        <v>62</v>
      </c>
      <c r="G487" s="12" t="s">
        <v>63</v>
      </c>
      <c r="H487" s="12" t="s">
        <v>58</v>
      </c>
      <c r="I487" s="12" t="s">
        <v>45</v>
      </c>
      <c r="J487" s="12">
        <v>1.007</v>
      </c>
      <c r="K487" s="12" t="s">
        <v>64</v>
      </c>
      <c r="L487" s="12" t="s">
        <v>39</v>
      </c>
      <c r="M487" s="12" t="s">
        <v>78</v>
      </c>
      <c r="N487" s="12" t="s">
        <v>14</v>
      </c>
      <c r="O487" s="12" t="s">
        <v>6</v>
      </c>
      <c r="P487" s="12">
        <v>0</v>
      </c>
      <c r="Q487" s="12">
        <v>2</v>
      </c>
      <c r="R487" s="12" t="s">
        <v>11</v>
      </c>
      <c r="S487" s="12" t="s">
        <v>48</v>
      </c>
      <c r="T487" s="12" t="s">
        <v>48</v>
      </c>
      <c r="U487" s="12">
        <v>481</v>
      </c>
    </row>
    <row r="488" spans="1:21">
      <c r="A488" s="13">
        <v>45778</v>
      </c>
      <c r="B488" s="12">
        <v>123791453</v>
      </c>
      <c r="C488" s="12">
        <v>1986</v>
      </c>
      <c r="D488" s="12" t="s">
        <v>97</v>
      </c>
      <c r="E488" s="12" t="s">
        <v>50</v>
      </c>
      <c r="F488" s="12" t="s">
        <v>34</v>
      </c>
      <c r="G488" s="12" t="s">
        <v>35</v>
      </c>
      <c r="H488" s="12" t="s">
        <v>36</v>
      </c>
      <c r="I488" s="12" t="s">
        <v>45</v>
      </c>
      <c r="J488" s="12">
        <v>0.935</v>
      </c>
      <c r="K488" s="12" t="s">
        <v>38</v>
      </c>
      <c r="L488" s="12" t="s">
        <v>72</v>
      </c>
      <c r="M488" s="12" t="s">
        <v>95</v>
      </c>
      <c r="N488" s="12" t="s">
        <v>14</v>
      </c>
      <c r="O488" s="12" t="s">
        <v>6</v>
      </c>
      <c r="P488" s="12">
        <v>0</v>
      </c>
      <c r="Q488" s="12">
        <v>1</v>
      </c>
      <c r="R488" s="12" t="s">
        <v>13</v>
      </c>
      <c r="S488" s="12" t="s">
        <v>48</v>
      </c>
      <c r="T488" s="12" t="s">
        <v>48</v>
      </c>
      <c r="U488" s="12">
        <v>2164</v>
      </c>
    </row>
    <row r="489" spans="1:21">
      <c r="A489" s="13">
        <v>45839</v>
      </c>
      <c r="B489" s="12">
        <v>123628020</v>
      </c>
      <c r="C489" s="12">
        <v>1974</v>
      </c>
      <c r="D489" s="12" t="s">
        <v>97</v>
      </c>
      <c r="E489" s="12" t="s">
        <v>33</v>
      </c>
      <c r="F489" s="12" t="s">
        <v>91</v>
      </c>
      <c r="G489" s="12" t="s">
        <v>92</v>
      </c>
      <c r="H489" s="12" t="s">
        <v>58</v>
      </c>
      <c r="I489" s="12" t="s">
        <v>45</v>
      </c>
      <c r="J489" s="12">
        <v>1.059</v>
      </c>
      <c r="K489" s="12" t="s">
        <v>93</v>
      </c>
      <c r="L489" s="12" t="s">
        <v>39</v>
      </c>
      <c r="M489" s="12" t="s">
        <v>47</v>
      </c>
      <c r="N489" s="12" t="s">
        <v>14</v>
      </c>
      <c r="O489" s="12" t="s">
        <v>6</v>
      </c>
      <c r="P489" s="12">
        <v>0</v>
      </c>
      <c r="Q489" s="12">
        <v>3</v>
      </c>
      <c r="R489" s="12" t="s">
        <v>13</v>
      </c>
      <c r="S489" s="14">
        <v>0.278472222222222</v>
      </c>
      <c r="T489" s="12" t="s">
        <v>41</v>
      </c>
      <c r="U489" s="12">
        <v>483</v>
      </c>
    </row>
    <row r="490" spans="1:21">
      <c r="A490" s="13">
        <v>45931</v>
      </c>
      <c r="B490" s="12">
        <v>123589978</v>
      </c>
      <c r="C490" s="12">
        <v>1993</v>
      </c>
      <c r="D490" s="12" t="s">
        <v>61</v>
      </c>
      <c r="E490" s="12" t="s">
        <v>33</v>
      </c>
      <c r="F490" s="12" t="s">
        <v>86</v>
      </c>
      <c r="G490" s="12" t="s">
        <v>87</v>
      </c>
      <c r="H490" s="12" t="s">
        <v>58</v>
      </c>
      <c r="I490" s="12" t="s">
        <v>45</v>
      </c>
      <c r="J490" s="12">
        <v>0.987</v>
      </c>
      <c r="K490" s="12" t="s">
        <v>88</v>
      </c>
      <c r="L490" s="12" t="s">
        <v>39</v>
      </c>
      <c r="M490" s="12" t="s">
        <v>78</v>
      </c>
      <c r="N490" s="12" t="s">
        <v>14</v>
      </c>
      <c r="O490" s="12" t="s">
        <v>4</v>
      </c>
      <c r="P490" s="12">
        <v>1</v>
      </c>
      <c r="Q490" s="12">
        <v>3</v>
      </c>
      <c r="R490" s="12" t="s">
        <v>13</v>
      </c>
      <c r="S490" s="14">
        <v>0.78125</v>
      </c>
      <c r="T490" s="12" t="s">
        <v>67</v>
      </c>
      <c r="U490" s="12">
        <v>6872</v>
      </c>
    </row>
    <row r="491" spans="1:21">
      <c r="A491" s="13">
        <v>45870</v>
      </c>
      <c r="B491" s="12">
        <v>123884362</v>
      </c>
      <c r="C491" s="12">
        <v>1989</v>
      </c>
      <c r="D491" s="12" t="s">
        <v>90</v>
      </c>
      <c r="E491" s="12" t="s">
        <v>50</v>
      </c>
      <c r="F491" s="12" t="s">
        <v>91</v>
      </c>
      <c r="G491" s="12" t="s">
        <v>92</v>
      </c>
      <c r="H491" s="12" t="s">
        <v>58</v>
      </c>
      <c r="I491" s="12" t="s">
        <v>45</v>
      </c>
      <c r="J491" s="12">
        <v>1.047</v>
      </c>
      <c r="K491" s="12" t="s">
        <v>93</v>
      </c>
      <c r="L491" s="12" t="s">
        <v>39</v>
      </c>
      <c r="M491" s="12" t="s">
        <v>40</v>
      </c>
      <c r="N491" s="12" t="s">
        <v>14</v>
      </c>
      <c r="O491" s="12" t="s">
        <v>4</v>
      </c>
      <c r="P491" s="12">
        <v>1</v>
      </c>
      <c r="Q491" s="12">
        <v>1</v>
      </c>
      <c r="R491" s="12" t="s">
        <v>13</v>
      </c>
      <c r="S491" s="14">
        <v>0.351388888888889</v>
      </c>
      <c r="T491" s="12" t="s">
        <v>41</v>
      </c>
      <c r="U491" s="12">
        <v>2684</v>
      </c>
    </row>
    <row r="492" spans="1:21">
      <c r="A492" s="13">
        <v>45992</v>
      </c>
      <c r="B492" s="12">
        <v>123642429</v>
      </c>
      <c r="C492" s="12">
        <v>1988</v>
      </c>
      <c r="D492" s="12" t="s">
        <v>49</v>
      </c>
      <c r="E492" s="12" t="s">
        <v>50</v>
      </c>
      <c r="F492" s="12" t="s">
        <v>56</v>
      </c>
      <c r="G492" s="12" t="s">
        <v>57</v>
      </c>
      <c r="H492" s="12" t="s">
        <v>58</v>
      </c>
      <c r="I492" s="12" t="s">
        <v>45</v>
      </c>
      <c r="J492" s="12">
        <v>1.003</v>
      </c>
      <c r="K492" s="12" t="s">
        <v>59</v>
      </c>
      <c r="L492" s="12" t="s">
        <v>84</v>
      </c>
      <c r="M492" s="12" t="s">
        <v>89</v>
      </c>
      <c r="N492" s="12" t="s">
        <v>14</v>
      </c>
      <c r="O492" s="12" t="s">
        <v>4</v>
      </c>
      <c r="P492" s="12">
        <v>1</v>
      </c>
      <c r="Q492" s="12">
        <v>1</v>
      </c>
      <c r="R492" s="12" t="s">
        <v>11</v>
      </c>
      <c r="S492" s="14">
        <v>0.808333333333333</v>
      </c>
      <c r="T492" s="12" t="s">
        <v>67</v>
      </c>
      <c r="U492" s="12">
        <v>4985</v>
      </c>
    </row>
    <row r="493" spans="1:21">
      <c r="A493" s="13">
        <v>45962</v>
      </c>
      <c r="B493" s="12">
        <v>123754733</v>
      </c>
      <c r="C493" s="12">
        <v>1986</v>
      </c>
      <c r="D493" s="12" t="s">
        <v>42</v>
      </c>
      <c r="E493" s="12" t="s">
        <v>33</v>
      </c>
      <c r="F493" s="12" t="s">
        <v>56</v>
      </c>
      <c r="G493" s="12" t="s">
        <v>57</v>
      </c>
      <c r="H493" s="12" t="s">
        <v>58</v>
      </c>
      <c r="I493" s="12" t="s">
        <v>45</v>
      </c>
      <c r="J493" s="12">
        <v>1.07</v>
      </c>
      <c r="K493" s="12" t="s">
        <v>59</v>
      </c>
      <c r="L493" s="12" t="s">
        <v>84</v>
      </c>
      <c r="M493" s="12" t="s">
        <v>85</v>
      </c>
      <c r="N493" s="12" t="s">
        <v>14</v>
      </c>
      <c r="O493" s="12" t="s">
        <v>6</v>
      </c>
      <c r="P493" s="12">
        <v>0</v>
      </c>
      <c r="Q493" s="12">
        <v>1</v>
      </c>
      <c r="R493" s="12" t="s">
        <v>13</v>
      </c>
      <c r="S493" s="14">
        <v>0.827777777777778</v>
      </c>
      <c r="T493" s="12" t="s">
        <v>67</v>
      </c>
      <c r="U493" s="12">
        <v>401</v>
      </c>
    </row>
    <row r="494" spans="1:21">
      <c r="A494" s="13">
        <v>45931</v>
      </c>
      <c r="B494" s="12">
        <v>123563153</v>
      </c>
      <c r="C494" s="12">
        <v>2004</v>
      </c>
      <c r="D494" s="12" t="s">
        <v>61</v>
      </c>
      <c r="E494" s="12" t="s">
        <v>50</v>
      </c>
      <c r="F494" s="12" t="s">
        <v>62</v>
      </c>
      <c r="G494" s="12" t="s">
        <v>63</v>
      </c>
      <c r="H494" s="12" t="s">
        <v>58</v>
      </c>
      <c r="I494" s="12" t="s">
        <v>37</v>
      </c>
      <c r="J494" s="12">
        <v>1.071</v>
      </c>
      <c r="K494" s="12" t="s">
        <v>64</v>
      </c>
      <c r="L494" s="12" t="s">
        <v>84</v>
      </c>
      <c r="M494" s="12" t="s">
        <v>85</v>
      </c>
      <c r="N494" s="12" t="s">
        <v>14</v>
      </c>
      <c r="O494" s="12" t="s">
        <v>6</v>
      </c>
      <c r="P494" s="12">
        <v>0</v>
      </c>
      <c r="Q494" s="12">
        <v>2</v>
      </c>
      <c r="R494" s="12" t="s">
        <v>13</v>
      </c>
      <c r="S494" s="14">
        <v>0.470138888888889</v>
      </c>
      <c r="T494" s="12" t="s">
        <v>41</v>
      </c>
      <c r="U494" s="12">
        <v>1718</v>
      </c>
    </row>
    <row r="495" spans="1:21">
      <c r="A495" s="13">
        <v>45870</v>
      </c>
      <c r="B495" s="12">
        <v>123690691</v>
      </c>
      <c r="C495" s="12">
        <v>1976</v>
      </c>
      <c r="D495" s="12" t="s">
        <v>49</v>
      </c>
      <c r="E495" s="12" t="s">
        <v>50</v>
      </c>
      <c r="F495" s="12" t="s">
        <v>91</v>
      </c>
      <c r="G495" s="12" t="s">
        <v>92</v>
      </c>
      <c r="H495" s="12" t="s">
        <v>58</v>
      </c>
      <c r="I495" s="12" t="s">
        <v>45</v>
      </c>
      <c r="J495" s="12">
        <v>0.886</v>
      </c>
      <c r="K495" s="12" t="s">
        <v>93</v>
      </c>
      <c r="L495" s="12" t="s">
        <v>65</v>
      </c>
      <c r="M495" s="12" t="s">
        <v>96</v>
      </c>
      <c r="N495" s="12" t="s">
        <v>14</v>
      </c>
      <c r="O495" s="12" t="s">
        <v>6</v>
      </c>
      <c r="P495" s="12">
        <v>0</v>
      </c>
      <c r="Q495" s="12">
        <v>3</v>
      </c>
      <c r="R495" s="12" t="s">
        <v>11</v>
      </c>
      <c r="S495" s="14">
        <v>0.601388888888889</v>
      </c>
      <c r="T495" s="12" t="s">
        <v>67</v>
      </c>
      <c r="U495" s="12">
        <v>1451</v>
      </c>
    </row>
    <row r="496" spans="1:21">
      <c r="A496" s="13">
        <v>45748</v>
      </c>
      <c r="B496" s="12">
        <v>123744136</v>
      </c>
      <c r="C496" s="12">
        <v>1990</v>
      </c>
      <c r="D496" s="12" t="s">
        <v>32</v>
      </c>
      <c r="E496" s="12" t="s">
        <v>50</v>
      </c>
      <c r="F496" s="12" t="s">
        <v>91</v>
      </c>
      <c r="G496" s="12" t="s">
        <v>92</v>
      </c>
      <c r="H496" s="12" t="s">
        <v>58</v>
      </c>
      <c r="I496" s="12" t="s">
        <v>45</v>
      </c>
      <c r="J496" s="12">
        <v>1.008</v>
      </c>
      <c r="K496" s="12" t="s">
        <v>93</v>
      </c>
      <c r="L496" s="12" t="s">
        <v>39</v>
      </c>
      <c r="M496" s="12" t="s">
        <v>40</v>
      </c>
      <c r="N496" s="12" t="s">
        <v>14</v>
      </c>
      <c r="O496" s="12" t="s">
        <v>6</v>
      </c>
      <c r="P496" s="12">
        <v>0</v>
      </c>
      <c r="Q496" s="12">
        <v>2</v>
      </c>
      <c r="R496" s="12" t="s">
        <v>13</v>
      </c>
      <c r="S496" s="12" t="s">
        <v>48</v>
      </c>
      <c r="T496" s="12" t="s">
        <v>48</v>
      </c>
      <c r="U496" s="12">
        <v>1170</v>
      </c>
    </row>
    <row r="497" spans="1:21">
      <c r="A497" s="13">
        <v>45778</v>
      </c>
      <c r="B497" s="12">
        <v>123796550</v>
      </c>
      <c r="C497" s="12">
        <v>1985</v>
      </c>
      <c r="D497" s="12" t="s">
        <v>68</v>
      </c>
      <c r="E497" s="12" t="s">
        <v>33</v>
      </c>
      <c r="F497" s="12" t="s">
        <v>80</v>
      </c>
      <c r="G497" s="12" t="s">
        <v>81</v>
      </c>
      <c r="H497" s="12" t="s">
        <v>36</v>
      </c>
      <c r="I497" s="12" t="s">
        <v>37</v>
      </c>
      <c r="J497" s="12">
        <v>0.989</v>
      </c>
      <c r="K497" s="12" t="s">
        <v>82</v>
      </c>
      <c r="L497" s="12" t="s">
        <v>60</v>
      </c>
      <c r="M497" s="12" t="s">
        <v>48</v>
      </c>
      <c r="N497" s="12" t="s">
        <v>12</v>
      </c>
      <c r="O497" s="12" t="s">
        <v>6</v>
      </c>
      <c r="P497" s="12">
        <v>0</v>
      </c>
      <c r="Q497" s="12">
        <v>1</v>
      </c>
      <c r="R497" s="12" t="s">
        <v>13</v>
      </c>
      <c r="S497" s="14">
        <v>0.379861111111111</v>
      </c>
      <c r="T497" s="12" t="s">
        <v>41</v>
      </c>
      <c r="U497" s="12">
        <v>907</v>
      </c>
    </row>
    <row r="498" spans="1:21">
      <c r="A498" s="13">
        <v>45689</v>
      </c>
      <c r="B498" s="12">
        <v>123742348</v>
      </c>
      <c r="C498" s="12">
        <v>2000</v>
      </c>
      <c r="D498" s="12" t="s">
        <v>98</v>
      </c>
      <c r="E498" s="12" t="s">
        <v>50</v>
      </c>
      <c r="F498" s="12" t="s">
        <v>43</v>
      </c>
      <c r="G498" s="12" t="s">
        <v>44</v>
      </c>
      <c r="H498" s="12" t="s">
        <v>36</v>
      </c>
      <c r="I498" s="12" t="s">
        <v>45</v>
      </c>
      <c r="J498" s="12">
        <v>0.92</v>
      </c>
      <c r="K498" s="12" t="s">
        <v>46</v>
      </c>
      <c r="L498" s="12" t="s">
        <v>65</v>
      </c>
      <c r="M498" s="12" t="s">
        <v>96</v>
      </c>
      <c r="N498" s="12" t="s">
        <v>14</v>
      </c>
      <c r="O498" s="12" t="s">
        <v>6</v>
      </c>
      <c r="P498" s="12">
        <v>0</v>
      </c>
      <c r="Q498" s="12">
        <v>1</v>
      </c>
      <c r="R498" s="12" t="s">
        <v>11</v>
      </c>
      <c r="S498" s="12" t="s">
        <v>48</v>
      </c>
      <c r="T498" s="12" t="s">
        <v>48</v>
      </c>
      <c r="U498" s="12">
        <v>1685</v>
      </c>
    </row>
    <row r="499" spans="1:21">
      <c r="A499" s="13">
        <v>45778</v>
      </c>
      <c r="B499" s="12">
        <v>123652197</v>
      </c>
      <c r="C499" s="12">
        <v>1963</v>
      </c>
      <c r="D499" s="12" t="s">
        <v>83</v>
      </c>
      <c r="E499" s="12" t="s">
        <v>50</v>
      </c>
      <c r="F499" s="12" t="s">
        <v>86</v>
      </c>
      <c r="G499" s="12" t="s">
        <v>87</v>
      </c>
      <c r="H499" s="12" t="s">
        <v>58</v>
      </c>
      <c r="I499" s="12" t="s">
        <v>45</v>
      </c>
      <c r="J499" s="12">
        <v>1.037</v>
      </c>
      <c r="K499" s="12" t="s">
        <v>88</v>
      </c>
      <c r="L499" s="12" t="s">
        <v>65</v>
      </c>
      <c r="M499" s="12" t="s">
        <v>66</v>
      </c>
      <c r="N499" s="12" t="s">
        <v>14</v>
      </c>
      <c r="O499" s="12" t="s">
        <v>6</v>
      </c>
      <c r="P499" s="12">
        <v>0</v>
      </c>
      <c r="Q499" s="12">
        <v>1</v>
      </c>
      <c r="R499" s="12" t="s">
        <v>13</v>
      </c>
      <c r="S499" s="12" t="s">
        <v>48</v>
      </c>
      <c r="T499" s="12" t="s">
        <v>48</v>
      </c>
      <c r="U499" s="12">
        <v>1552</v>
      </c>
    </row>
    <row r="500" spans="1:21">
      <c r="A500" s="13">
        <v>45992</v>
      </c>
      <c r="B500" s="12">
        <v>123979202</v>
      </c>
      <c r="C500" s="12">
        <v>1980</v>
      </c>
      <c r="D500" s="12" t="s">
        <v>97</v>
      </c>
      <c r="E500" s="12" t="s">
        <v>33</v>
      </c>
      <c r="F500" s="12" t="s">
        <v>51</v>
      </c>
      <c r="G500" s="12" t="s">
        <v>52</v>
      </c>
      <c r="H500" s="12" t="s">
        <v>53</v>
      </c>
      <c r="I500" s="12" t="s">
        <v>45</v>
      </c>
      <c r="J500" s="12">
        <v>1.253</v>
      </c>
      <c r="K500" s="12" t="s">
        <v>54</v>
      </c>
      <c r="L500" s="12" t="s">
        <v>84</v>
      </c>
      <c r="M500" s="12" t="s">
        <v>89</v>
      </c>
      <c r="N500" s="12" t="s">
        <v>14</v>
      </c>
      <c r="O500" s="12" t="s">
        <v>6</v>
      </c>
      <c r="P500" s="12">
        <v>0</v>
      </c>
      <c r="Q500" s="12">
        <v>3</v>
      </c>
      <c r="R500" s="12" t="s">
        <v>13</v>
      </c>
      <c r="S500" s="12" t="s">
        <v>48</v>
      </c>
      <c r="T500" s="12" t="s">
        <v>48</v>
      </c>
      <c r="U500" s="12">
        <v>2013</v>
      </c>
    </row>
    <row r="501" spans="1:21">
      <c r="A501" s="13">
        <v>45809</v>
      </c>
      <c r="B501" s="12">
        <v>123734929</v>
      </c>
      <c r="C501" s="12">
        <v>1971</v>
      </c>
      <c r="D501" s="12" t="s">
        <v>68</v>
      </c>
      <c r="E501" s="12" t="s">
        <v>50</v>
      </c>
      <c r="F501" s="12" t="s">
        <v>34</v>
      </c>
      <c r="G501" s="12" t="s">
        <v>35</v>
      </c>
      <c r="H501" s="12" t="s">
        <v>36</v>
      </c>
      <c r="I501" s="12" t="s">
        <v>37</v>
      </c>
      <c r="J501" s="12">
        <v>1.151</v>
      </c>
      <c r="K501" s="12" t="s">
        <v>38</v>
      </c>
      <c r="L501" s="12" t="s">
        <v>39</v>
      </c>
      <c r="M501" s="12" t="s">
        <v>78</v>
      </c>
      <c r="N501" s="12" t="s">
        <v>14</v>
      </c>
      <c r="O501" s="12" t="s">
        <v>6</v>
      </c>
      <c r="P501" s="12">
        <v>0</v>
      </c>
      <c r="Q501" s="12">
        <v>2</v>
      </c>
      <c r="R501" s="12" t="s">
        <v>13</v>
      </c>
      <c r="S501" s="12" t="s">
        <v>48</v>
      </c>
      <c r="T501" s="12" t="s">
        <v>48</v>
      </c>
      <c r="U501" s="12">
        <v>1533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AA41"/>
  <sheetViews>
    <sheetView showGridLines="0" zoomScale="40" zoomScaleNormal="40" workbookViewId="0">
      <selection activeCell="J50" sqref="J50"/>
    </sheetView>
  </sheetViews>
  <sheetFormatPr defaultColWidth="9.14285714285714" defaultRowHeight="15"/>
  <cols>
    <col min="2" max="2" width="11.8571428571429" customWidth="1"/>
    <col min="4" max="4" width="14.8571428571429" customWidth="1"/>
    <col min="6" max="6" width="30.7142857142857" customWidth="1"/>
    <col min="8" max="8" width="31.4285714285714" customWidth="1"/>
    <col min="10" max="10" width="30.7142857142857" customWidth="1"/>
    <col min="12" max="12" width="31.7809523809524" customWidth="1"/>
    <col min="14" max="14" width="38.9238095238095" customWidth="1"/>
    <col min="16" max="16" width="31.0666666666667" customWidth="1"/>
    <col min="18" max="18" width="30.7142857142857" customWidth="1"/>
  </cols>
  <sheetData>
    <row r="1" ht="15.75"/>
    <row r="2" ht="34.5" spans="6:27">
      <c r="F2" s="1" t="s">
        <v>101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AA2" s="4"/>
    </row>
    <row r="4" ht="15.75"/>
    <row r="5" ht="28" customHeight="1" spans="6:27">
      <c r="F5" s="5" t="s">
        <v>102</v>
      </c>
      <c r="G5" s="6"/>
      <c r="H5" s="5" t="s">
        <v>103</v>
      </c>
      <c r="I5" s="6"/>
      <c r="J5" s="5" t="s">
        <v>104</v>
      </c>
      <c r="K5" s="6"/>
      <c r="L5" s="5" t="s">
        <v>105</v>
      </c>
      <c r="M5" s="6"/>
      <c r="N5" s="5" t="s">
        <v>106</v>
      </c>
      <c r="O5" s="6"/>
      <c r="P5" s="5" t="s">
        <v>107</v>
      </c>
      <c r="Q5" s="6"/>
      <c r="R5" s="5" t="s">
        <v>108</v>
      </c>
      <c r="S5" s="7"/>
    </row>
    <row r="6" ht="29" customHeight="1" spans="6:27">
      <c r="F6" s="8">
        <v>500</v>
      </c>
      <c r="G6" s="9"/>
      <c r="H6" s="8">
        <v>8523364</v>
      </c>
      <c r="I6" s="9"/>
      <c r="J6" s="8">
        <v>1.284</v>
      </c>
      <c r="K6" s="9"/>
      <c r="L6" s="8">
        <v>1.037098</v>
      </c>
      <c r="M6" s="9"/>
      <c r="N6" s="8">
        <f>H6/F6</f>
        <v>17046.728</v>
      </c>
      <c r="O6" s="9"/>
      <c r="P6" s="10">
        <v>0.28</v>
      </c>
      <c r="Q6" s="9"/>
      <c r="R6" s="10">
        <v>0.4</v>
      </c>
      <c r="S6" s="7"/>
    </row>
    <row r="41" ht="26.25" spans="6:6">
      <c r="F41" s="11"/>
    </row>
  </sheetData>
  <mergeCells count="1">
    <mergeCell ref="F2:R2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dummy_hospital_generated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sankalp</cp:lastModifiedBy>
  <dcterms:created xsi:type="dcterms:W3CDTF">2026-03-02T10:29:00Z</dcterms:created>
  <dcterms:modified xsi:type="dcterms:W3CDTF">2026-04-05T11:31:35Z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BF2FF719528D471FA78964C4A4E3C9AE_13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